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\Downloads\Data Analytics Portfolio\Excel\"/>
    </mc:Choice>
  </mc:AlternateContent>
  <xr:revisionPtr revIDLastSave="0" documentId="8_{CA9CB004-0024-4C96-8217-FEB227F8C014}" xr6:coauthVersionLast="47" xr6:coauthVersionMax="47" xr10:uidLastSave="{00000000-0000-0000-0000-000000000000}"/>
  <bookViews>
    <workbookView xWindow="-120" yWindow="-120" windowWidth="29040" windowHeight="15720" activeTab="4" xr2:uid="{8C39DF21-516F-4826-B9B3-8A4674B0D268}"/>
  </bookViews>
  <sheets>
    <sheet name="Raw_Data" sheetId="1" r:id="rId1"/>
    <sheet name="README" sheetId="2" r:id="rId2"/>
    <sheet name="Clean_Data" sheetId="3" r:id="rId3"/>
    <sheet name="Pivot_Tables" sheetId="4" r:id="rId4"/>
    <sheet name="Dashboard" sheetId="5" r:id="rId5"/>
  </sheets>
  <calcPr calcId="191029"/>
  <pivotCaches>
    <pivotCache cacheId="53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3" l="1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8" i="3"/>
  <c r="J7" i="3"/>
  <c r="J6" i="3"/>
  <c r="J5" i="3"/>
  <c r="J4" i="3"/>
  <c r="J3" i="3"/>
  <c r="J2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<sst xmlns="http://schemas.openxmlformats.org/spreadsheetml/2006/main" count="1225" uniqueCount="341">
  <si>
    <t>Date</t>
  </si>
  <si>
    <t>Trailer ID</t>
  </si>
  <si>
    <t>Driver</t>
  </si>
  <si>
    <t>Shift</t>
  </si>
  <si>
    <t>Dock</t>
  </si>
  <si>
    <t>Yard loaction</t>
  </si>
  <si>
    <t>Status</t>
  </si>
  <si>
    <t>Move Request</t>
  </si>
  <si>
    <t>Move Completed</t>
  </si>
  <si>
    <t>Priorty</t>
  </si>
  <si>
    <t>XPO4905</t>
  </si>
  <si>
    <t>FDX4381</t>
  </si>
  <si>
    <t>Swft4054</t>
  </si>
  <si>
    <t>JBHT9261</t>
  </si>
  <si>
    <t xml:space="preserve"> TR4096</t>
  </si>
  <si>
    <t>JBHT-1440</t>
  </si>
  <si>
    <t xml:space="preserve">TR5206 </t>
  </si>
  <si>
    <t>Jbht5146</t>
  </si>
  <si>
    <t>FDX1060</t>
  </si>
  <si>
    <t>CRST-6028</t>
  </si>
  <si>
    <t/>
  </si>
  <si>
    <t xml:space="preserve"> JBHT3513</t>
  </si>
  <si>
    <t xml:space="preserve"> TR2347</t>
  </si>
  <si>
    <t>Fdx5873</t>
  </si>
  <si>
    <t>tr7802</t>
  </si>
  <si>
    <t>SWFT-4566</t>
  </si>
  <si>
    <t xml:space="preserve">CRST5386 </t>
  </si>
  <si>
    <t>XPO2113</t>
  </si>
  <si>
    <t xml:space="preserve">JBHT2021 </t>
  </si>
  <si>
    <t>XPO5397</t>
  </si>
  <si>
    <t>JBHT8066</t>
  </si>
  <si>
    <t xml:space="preserve"> TR6190</t>
  </si>
  <si>
    <t>FDX-7009</t>
  </si>
  <si>
    <t>XPO2356</t>
  </si>
  <si>
    <t xml:space="preserve"> TR8137</t>
  </si>
  <si>
    <t>SWFT2433</t>
  </si>
  <si>
    <t>Xpo1718</t>
  </si>
  <si>
    <t>FDX1422</t>
  </si>
  <si>
    <t>XPO8088</t>
  </si>
  <si>
    <t xml:space="preserve"> TR5949</t>
  </si>
  <si>
    <t xml:space="preserve">FDX8732 </t>
  </si>
  <si>
    <t xml:space="preserve">FDX9249 </t>
  </si>
  <si>
    <t xml:space="preserve">SWFT4297 </t>
  </si>
  <si>
    <t xml:space="preserve"> XPO5126</t>
  </si>
  <si>
    <t>TR7166</t>
  </si>
  <si>
    <t>JBHT-1568</t>
  </si>
  <si>
    <t>FDX-7343</t>
  </si>
  <si>
    <t>Xpo3212</t>
  </si>
  <si>
    <t>SWFT-8359</t>
  </si>
  <si>
    <t xml:space="preserve"> XPO1647</t>
  </si>
  <si>
    <t>CRST4642</t>
  </si>
  <si>
    <t xml:space="preserve">CRST6065 </t>
  </si>
  <si>
    <t>XPO-3158</t>
  </si>
  <si>
    <t>CRST4344</t>
  </si>
  <si>
    <t>XPO1965</t>
  </si>
  <si>
    <t>FDX7293</t>
  </si>
  <si>
    <t>jbht9132</t>
  </si>
  <si>
    <t>XPO4366</t>
  </si>
  <si>
    <t>TR9732</t>
  </si>
  <si>
    <t>SWFT1334</t>
  </si>
  <si>
    <t>Fdx5139</t>
  </si>
  <si>
    <t>Tr9838</t>
  </si>
  <si>
    <t>TR4719</t>
  </si>
  <si>
    <t>TR2000</t>
  </si>
  <si>
    <t>JBHT-2144</t>
  </si>
  <si>
    <t>FDX-1267</t>
  </si>
  <si>
    <t>fdx9627</t>
  </si>
  <si>
    <t>Xpo7719</t>
  </si>
  <si>
    <t xml:space="preserve"> FDX5500</t>
  </si>
  <si>
    <t>TR4534</t>
  </si>
  <si>
    <t>TR5870</t>
  </si>
  <si>
    <t>xpo3376</t>
  </si>
  <si>
    <t>SWFT7769</t>
  </si>
  <si>
    <t>FDX7255</t>
  </si>
  <si>
    <t xml:space="preserve">SWFT3611 </t>
  </si>
  <si>
    <t xml:space="preserve">CRST1090 </t>
  </si>
  <si>
    <t>crst7338</t>
  </si>
  <si>
    <t>Crst9691</t>
  </si>
  <si>
    <t>FDX3349</t>
  </si>
  <si>
    <t xml:space="preserve"> TR3837</t>
  </si>
  <si>
    <t>fdx1955</t>
  </si>
  <si>
    <t>TR-3187</t>
  </si>
  <si>
    <t>CRST-5991</t>
  </si>
  <si>
    <t>SWFT6867</t>
  </si>
  <si>
    <t xml:space="preserve"> CRST8909</t>
  </si>
  <si>
    <t xml:space="preserve"> SWFT6112</t>
  </si>
  <si>
    <t>JBHT1396</t>
  </si>
  <si>
    <t xml:space="preserve">TR9699 </t>
  </si>
  <si>
    <t xml:space="preserve">JBHT5469 </t>
  </si>
  <si>
    <t xml:space="preserve"> XPO5723</t>
  </si>
  <si>
    <t>CRST7954</t>
  </si>
  <si>
    <t>tr1004</t>
  </si>
  <si>
    <t>TR-2218</t>
  </si>
  <si>
    <t>swft7630</t>
  </si>
  <si>
    <t>CRST8944</t>
  </si>
  <si>
    <t>Xpo4802</t>
  </si>
  <si>
    <t>Xpo1845</t>
  </si>
  <si>
    <t>fdx8579</t>
  </si>
  <si>
    <t>MORNING (5 AM - 5 PM)</t>
  </si>
  <si>
    <t xml:space="preserve">Morning (5 AM - 5 PM) </t>
  </si>
  <si>
    <t>morning (5 AM - 5 PM)</t>
  </si>
  <si>
    <t>evening (5 PM - 5 AM)</t>
  </si>
  <si>
    <t>EVENING (5 PM - 5 AM)</t>
  </si>
  <si>
    <t>Evening (5 PM - 5 AM)</t>
  </si>
  <si>
    <t>Eveing (5 PM - 5 AM)</t>
  </si>
  <si>
    <t xml:space="preserve"> Morning (5 AM - 5 PM)</t>
  </si>
  <si>
    <t>Morning (5 AM - 5 PM)</t>
  </si>
  <si>
    <t>Alhambra, California</t>
  </si>
  <si>
    <t>alhambra, ca</t>
  </si>
  <si>
    <t>Alhambra, CA</t>
  </si>
  <si>
    <t>Alhambra CA</t>
  </si>
  <si>
    <t xml:space="preserve"> Alhambra, CA</t>
  </si>
  <si>
    <t xml:space="preserve">Alhambra, CA </t>
  </si>
  <si>
    <t>Alhambra,Ca</t>
  </si>
  <si>
    <t>ALHAMBRA, CA</t>
  </si>
  <si>
    <t>Loded</t>
  </si>
  <si>
    <t>Loaded</t>
  </si>
  <si>
    <t xml:space="preserve"> Loaded</t>
  </si>
  <si>
    <t>At Dock</t>
  </si>
  <si>
    <t>Empty</t>
  </si>
  <si>
    <t>loaded</t>
  </si>
  <si>
    <t>at dock</t>
  </si>
  <si>
    <t>in yard</t>
  </si>
  <si>
    <t>Emtpy</t>
  </si>
  <si>
    <t>LOADED</t>
  </si>
  <si>
    <t>empty</t>
  </si>
  <si>
    <t xml:space="preserve">Loaded </t>
  </si>
  <si>
    <t>EMPTY</t>
  </si>
  <si>
    <t>In Yard</t>
  </si>
  <si>
    <t>1:54 AM</t>
  </si>
  <si>
    <t>14:14</t>
  </si>
  <si>
    <t>invalid</t>
  </si>
  <si>
    <t>8:20 PM</t>
  </si>
  <si>
    <t>8.30 AM</t>
  </si>
  <si>
    <t>3:26 AM</t>
  </si>
  <si>
    <t>4:28 AM</t>
  </si>
  <si>
    <t xml:space="preserve">9:44 AM </t>
  </si>
  <si>
    <t xml:space="preserve">12:08 PM </t>
  </si>
  <si>
    <t>4:32 PM</t>
  </si>
  <si>
    <t>9:43 AM</t>
  </si>
  <si>
    <t>7:44 PM</t>
  </si>
  <si>
    <t>08:30</t>
  </si>
  <si>
    <t>1:59 PM</t>
  </si>
  <si>
    <t>13:12</t>
  </si>
  <si>
    <t>9:57 PM</t>
  </si>
  <si>
    <t>14:31</t>
  </si>
  <si>
    <t xml:space="preserve">10:28 AM </t>
  </si>
  <si>
    <t>1:01 AM</t>
  </si>
  <si>
    <t xml:space="preserve"> 2:55 PM</t>
  </si>
  <si>
    <t xml:space="preserve">2:26 PM </t>
  </si>
  <si>
    <t>8:14 PM</t>
  </si>
  <si>
    <t>14:41</t>
  </si>
  <si>
    <t>13:40</t>
  </si>
  <si>
    <t xml:space="preserve">5:27 AM </t>
  </si>
  <si>
    <t xml:space="preserve">10:46 AM </t>
  </si>
  <si>
    <t>09:38</t>
  </si>
  <si>
    <t>11:48</t>
  </si>
  <si>
    <t xml:space="preserve"> 11:56 PM</t>
  </si>
  <si>
    <t xml:space="preserve"> 11:29 AM</t>
  </si>
  <si>
    <t>4:34 AM</t>
  </si>
  <si>
    <t>13:39</t>
  </si>
  <si>
    <t xml:space="preserve"> 8:42 PM</t>
  </si>
  <si>
    <t xml:space="preserve">5:06 AM </t>
  </si>
  <si>
    <t>15:38</t>
  </si>
  <si>
    <t>8:02 PM</t>
  </si>
  <si>
    <t>10:35</t>
  </si>
  <si>
    <t>11:28 AM</t>
  </si>
  <si>
    <t>4:29 AM</t>
  </si>
  <si>
    <t>05:49</t>
  </si>
  <si>
    <t xml:space="preserve"> 8:10 AM</t>
  </si>
  <si>
    <t xml:space="preserve"> 5:40 AM</t>
  </si>
  <si>
    <t>2:00 AM</t>
  </si>
  <si>
    <t xml:space="preserve">10:38 PM </t>
  </si>
  <si>
    <t>11:33 PM</t>
  </si>
  <si>
    <t>5:34 PM</t>
  </si>
  <si>
    <t>10:40</t>
  </si>
  <si>
    <t>15:47</t>
  </si>
  <si>
    <t>06:24</t>
  </si>
  <si>
    <t>7:13 PM</t>
  </si>
  <si>
    <t xml:space="preserve"> 2:14 PM</t>
  </si>
  <si>
    <t>5:51 PM</t>
  </si>
  <si>
    <t>11:34 AM</t>
  </si>
  <si>
    <t xml:space="preserve">4:41 PM </t>
  </si>
  <si>
    <t xml:space="preserve"> 3:12 PM</t>
  </si>
  <si>
    <t>8:07 PM</t>
  </si>
  <si>
    <t>5:32 PM</t>
  </si>
  <si>
    <t>2:47 AM</t>
  </si>
  <si>
    <t xml:space="preserve"> 7:53 AM</t>
  </si>
  <si>
    <t>7:32 PM</t>
  </si>
  <si>
    <t>09:43</t>
  </si>
  <si>
    <t xml:space="preserve"> 5:56 AM</t>
  </si>
  <si>
    <t>Hgh</t>
  </si>
  <si>
    <t>medium</t>
  </si>
  <si>
    <t>Low</t>
  </si>
  <si>
    <t>Medium</t>
  </si>
  <si>
    <t>HIGH</t>
  </si>
  <si>
    <t>High</t>
  </si>
  <si>
    <t xml:space="preserve">High </t>
  </si>
  <si>
    <t>low</t>
  </si>
  <si>
    <t xml:space="preserve"> High</t>
  </si>
  <si>
    <t>high</t>
  </si>
  <si>
    <t>MEDIUM</t>
  </si>
  <si>
    <t>🚛 Trailer Movement Performance Dashboard</t>
  </si>
  <si>
    <t>Project Overview</t>
  </si>
  <si>
    <t>This project analyzes trailer movement operations in a logistics yard using Microsoft Excel. The objective is to demonstrate the complete data analytics process, including data creation, cleaning, transformation, analysis, and dashboard development.</t>
  </si>
  <si>
    <t>Project Objectives</t>
  </si>
  <si>
    <t>Analyze trailer movement performance.</t>
  </si>
  <si>
    <t>Measure average trailer move time.</t>
  </si>
  <si>
    <t>Identify delays in trailer movements.</t>
  </si>
  <si>
    <t>Compare workload across shifts.</t>
  </si>
  <si>
    <t>Monitor trailer status.</t>
  </si>
  <si>
    <t>Create an interactive dashboard for operational insights.</t>
  </si>
  <si>
    <t>Dataset</t>
  </si>
  <si>
    <r>
      <t xml:space="preserve">This project uses a </t>
    </r>
    <r>
      <rPr>
        <b/>
        <sz val="11"/>
        <color theme="1"/>
        <rFont val="Aptos Narrow"/>
        <family val="2"/>
        <scheme val="minor"/>
      </rPr>
      <t>simulated logistics dataset</t>
    </r>
    <r>
      <rPr>
        <sz val="11"/>
        <color theme="1"/>
        <rFont val="Aptos Narrow"/>
        <family val="2"/>
        <scheme val="minor"/>
      </rPr>
      <t xml:space="preserve"> based on real-world yard operations.</t>
    </r>
  </si>
  <si>
    <t>The dataset contains information such as:</t>
  </si>
  <si>
    <t>Yard Location</t>
  </si>
  <si>
    <t>Trailer Status</t>
  </si>
  <si>
    <t>Move Request Time</t>
  </si>
  <si>
    <t>Move Completed Time</t>
  </si>
  <si>
    <t>Priority</t>
  </si>
  <si>
    <t>Data Quality Issues Introduced</t>
  </si>
  <si>
    <t>To simulate real-world business data, the dataset intentionally includes:</t>
  </si>
  <si>
    <t>Mixed uppercase and lowercase text</t>
  </si>
  <si>
    <t>Leading and trailing spaces</t>
  </si>
  <si>
    <t>Missing values</t>
  </si>
  <si>
    <t>Duplicate records</t>
  </si>
  <si>
    <t>Spelling mistakes</t>
  </si>
  <si>
    <t>Inconsistent formatting</t>
  </si>
  <si>
    <t>Data Cleaning Performed</t>
  </si>
  <si>
    <t>The following Excel techniques were used:</t>
  </si>
  <si>
    <t>Remove Duplicates</t>
  </si>
  <si>
    <t>TRIM()</t>
  </si>
  <si>
    <t>PROPER()</t>
  </si>
  <si>
    <t>Find &amp; Replace</t>
  </si>
  <si>
    <t>Filtering</t>
  </si>
  <si>
    <t>Sorting</t>
  </si>
  <si>
    <t>Data Validation</t>
  </si>
  <si>
    <t>Excel Tables</t>
  </si>
  <si>
    <t>Analysis Performed</t>
  </si>
  <si>
    <t>The project answers business questions such as:</t>
  </si>
  <si>
    <t>Total trailer movements</t>
  </si>
  <si>
    <t>Average move duration</t>
  </si>
  <si>
    <t>Trailer movements by shift</t>
  </si>
  <si>
    <t>Loaded vs. Empty trailers</t>
  </si>
  <si>
    <t>High-priority trailer movements</t>
  </si>
  <si>
    <t>Driver performance</t>
  </si>
  <si>
    <t>Yard activity</t>
  </si>
  <si>
    <t>Dashboard Features</t>
  </si>
  <si>
    <t>The dashboard includes:</t>
  </si>
  <si>
    <t>KPI Cards</t>
  </si>
  <si>
    <t>Pivot Tables</t>
  </si>
  <si>
    <t>Pivot Charts</t>
  </si>
  <si>
    <t>Slicers</t>
  </si>
  <si>
    <t>Bar Charts</t>
  </si>
  <si>
    <t>Pie Charts</t>
  </si>
  <si>
    <t>Trend Analysis</t>
  </si>
  <si>
    <t>Skills Demonstrated</t>
  </si>
  <si>
    <t>Microsoft Excel</t>
  </si>
  <si>
    <t>Data Cleaning</t>
  </si>
  <si>
    <t>Data Transformation</t>
  </si>
  <si>
    <t>Dashboard Design</t>
  </si>
  <si>
    <t>Business Analytics</t>
  </si>
  <si>
    <t>Logistics Analytics</t>
  </si>
  <si>
    <t>Future Improvements</t>
  </si>
  <si>
    <t>Analyze the same dataset using SQL.</t>
  </si>
  <si>
    <t>Build an interactive Power BI dashboard.</t>
  </si>
  <si>
    <t>Use Python for advanced analysis and automation.</t>
  </si>
  <si>
    <t>Created by:</t>
  </si>
  <si>
    <t>Kanwardeep Singh</t>
  </si>
  <si>
    <t>Aspiring Data Analyst | Logistics &amp; Operations Professional</t>
  </si>
  <si>
    <t>kanwar</t>
  </si>
  <si>
    <t>john</t>
  </si>
  <si>
    <t>JOHN</t>
  </si>
  <si>
    <t>Kanwar</t>
  </si>
  <si>
    <t xml:space="preserve"> John</t>
  </si>
  <si>
    <t xml:space="preserve">John </t>
  </si>
  <si>
    <t>KANWAR</t>
  </si>
  <si>
    <t xml:space="preserve"> Kanwar</t>
  </si>
  <si>
    <t>Jhon</t>
  </si>
  <si>
    <t xml:space="preserve">Kanwar </t>
  </si>
  <si>
    <t>John</t>
  </si>
  <si>
    <t>TR5206</t>
  </si>
  <si>
    <t>JBHT5146</t>
  </si>
  <si>
    <t>JBHT3513</t>
  </si>
  <si>
    <t>TR2347</t>
  </si>
  <si>
    <t>JBHT2021</t>
  </si>
  <si>
    <t>TR8137</t>
  </si>
  <si>
    <t>XPO1718</t>
  </si>
  <si>
    <t>TR5949</t>
  </si>
  <si>
    <t>FDX8732</t>
  </si>
  <si>
    <t>FDX9249</t>
  </si>
  <si>
    <t>SWFT4297</t>
  </si>
  <si>
    <t>XPO5126</t>
  </si>
  <si>
    <t>XPO3212</t>
  </si>
  <si>
    <t>XPO1647</t>
  </si>
  <si>
    <t>CRST6065</t>
  </si>
  <si>
    <t>JBHT9132</t>
  </si>
  <si>
    <t>TR9838</t>
  </si>
  <si>
    <t>FDX9627</t>
  </si>
  <si>
    <t>XPO7719</t>
  </si>
  <si>
    <t>FDX5500</t>
  </si>
  <si>
    <t>XPO3376</t>
  </si>
  <si>
    <t>SWFT3611</t>
  </si>
  <si>
    <t>CRST1090</t>
  </si>
  <si>
    <t>CRST7338</t>
  </si>
  <si>
    <t>FDX1955</t>
  </si>
  <si>
    <t>CRST8909</t>
  </si>
  <si>
    <t>TR9699</t>
  </si>
  <si>
    <t>XPO4802</t>
  </si>
  <si>
    <t>XPO1845</t>
  </si>
  <si>
    <t>FDX8579</t>
  </si>
  <si>
    <t>Alhambra, Ca</t>
  </si>
  <si>
    <t>Alhambra Ca</t>
  </si>
  <si>
    <t xml:space="preserve"> Alhambra, Ca</t>
  </si>
  <si>
    <t xml:space="preserve">Alhambra, Ca </t>
  </si>
  <si>
    <t>Evening(5 PM-5 AM)</t>
  </si>
  <si>
    <t>Missing Data Handling
During data cleaning, I identified 13 records with missing Trailer IDs. Since the Trailer ID is the unique identifier for each trailer movement, these records could not be reliably analyzed. Therefore, I removed those rows from the dataset before performing further analysis.</t>
  </si>
  <si>
    <t>Alhambra,CA</t>
  </si>
  <si>
    <t>Morning(5 AM-5 PM)</t>
  </si>
  <si>
    <t>Move Status</t>
  </si>
  <si>
    <t>✅ 1. Raw Data</t>
  </si>
  <si>
    <t xml:space="preserve">        ↓</t>
  </si>
  <si>
    <t>✅ 2. Clean Data</t>
  </si>
  <si>
    <t>➡️ 3. Pivot Tables</t>
  </si>
  <si>
    <t>➡️ 4. Dashboard</t>
  </si>
  <si>
    <t>➡️ 5. README</t>
  </si>
  <si>
    <t>➡️ 6. LinkedIn Post</t>
  </si>
  <si>
    <t>Row Labels</t>
  </si>
  <si>
    <t>Grand Total</t>
  </si>
  <si>
    <t>Count of Trailer ID</t>
  </si>
  <si>
    <t>Trailer Moves by Driver</t>
  </si>
  <si>
    <t>Trailer Moves by Shift</t>
  </si>
  <si>
    <t>Completed</t>
  </si>
  <si>
    <t>Pending</t>
  </si>
  <si>
    <t>Average Move Duration by Driver</t>
  </si>
  <si>
    <t>Duration (minutes)</t>
  </si>
  <si>
    <t>Average of Duration (minutes)</t>
  </si>
  <si>
    <t>Average Move Duration by Shift</t>
  </si>
  <si>
    <t>Trailer Movement Operations Dashboard</t>
  </si>
  <si>
    <t>Evening</t>
  </si>
  <si>
    <t>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</si>
</sst>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8" fontId="0" fillId="0" borderId="0" xfId="0" applyNumberFormat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8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numFmt numFmtId="23" formatCode="h:mm\ AM/P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3" formatCode="h:mm\ AM/P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0" indent="0" justifyLastLine="0" shrinkToFit="0" readingOrder="0"/>
    </dxf>
    <dxf>
      <numFmt numFmtId="23" formatCode="h:mm\ AM/P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[Trailer_Movement_Analysis.xlsx]Pivot_Tables!PivotTable2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Trailer Moves by Driver</a:t>
            </a:r>
          </a:p>
        </c:rich>
      </c:tx>
      <c:layout>
        <c:manualLayout>
          <c:xMode val="edge"/>
          <c:yMode val="edge"/>
          <c:x val="0.24258333333333335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47625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Pivot_Tables!$B$3:$B$5</c:f>
              <c:strCache>
                <c:ptCount val="2"/>
                <c:pt idx="0">
                  <c:v>John</c:v>
                </c:pt>
                <c:pt idx="1">
                  <c:v>Kanwar</c:v>
                </c:pt>
              </c:strCache>
            </c:strRef>
          </c:cat>
          <c:val>
            <c:numRef>
              <c:f>Pivot_Tables!$C$3:$C$5</c:f>
              <c:numCache>
                <c:formatCode>General</c:formatCode>
                <c:ptCount val="2"/>
                <c:pt idx="0">
                  <c:v>21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3-449A-8534-67421AC9417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949206144"/>
        <c:axId val="149846063"/>
      </c:barChart>
      <c:catAx>
        <c:axId val="194920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6063"/>
        <c:crosses val="autoZero"/>
        <c:auto val="1"/>
        <c:lblAlgn val="ctr"/>
        <c:lblOffset val="100"/>
        <c:noMultiLvlLbl val="0"/>
      </c:catAx>
      <c:valAx>
        <c:axId val="14984606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/>
                  <a:t>Number of Trailer 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20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[Trailer_Movement_Analysis.xlsx]Pivot_Tables!PivotTable3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/>
              <a:t>Trailer Moves by Shift</a:t>
            </a:r>
            <a:endParaRPr lang="en-US" sz="2000" b="1"/>
          </a:p>
        </c:rich>
      </c:tx>
      <c:layout>
        <c:manualLayout>
          <c:xMode val="edge"/>
          <c:yMode val="edge"/>
          <c:x val="0.24258333333333335"/>
          <c:y val="3.601633129192184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47625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Pivot_Tables!$B$11:$B$13</c:f>
              <c:strCache>
                <c:ptCount val="2"/>
                <c:pt idx="0">
                  <c:v>Evening</c:v>
                </c:pt>
                <c:pt idx="1">
                  <c:v>Morning</c:v>
                </c:pt>
              </c:strCache>
            </c:strRef>
          </c:cat>
          <c:val>
            <c:numRef>
              <c:f>Pivot_Tables!$C$11:$C$13</c:f>
              <c:numCache>
                <c:formatCode>General</c:formatCode>
                <c:ptCount val="2"/>
                <c:pt idx="0">
                  <c:v>21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8-4142-A79B-BE4E8730746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949206144"/>
        <c:axId val="149846063"/>
      </c:barChart>
      <c:catAx>
        <c:axId val="194920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6063"/>
        <c:crosses val="autoZero"/>
        <c:auto val="1"/>
        <c:lblAlgn val="ctr"/>
        <c:lblOffset val="100"/>
        <c:noMultiLvlLbl val="0"/>
      </c:catAx>
      <c:valAx>
        <c:axId val="14984606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/>
                  <a:t>Number of Trailer Moves</a:t>
                </a:r>
              </a:p>
            </c:rich>
          </c:tx>
          <c:layout>
            <c:manualLayout>
              <c:xMode val="edge"/>
              <c:yMode val="edge"/>
              <c:x val="0.42541316710411198"/>
              <c:y val="0.8776388888888888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20614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[Trailer_Movement_Analysis.xlsx]Pivot_Tables!PivotTable6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/>
              <a:t>Move Status</a:t>
            </a:r>
            <a:endParaRPr lang="en-US" sz="2000" b="1"/>
          </a:p>
        </c:rich>
      </c:tx>
      <c:layout>
        <c:manualLayout>
          <c:xMode val="edge"/>
          <c:yMode val="edge"/>
          <c:x val="0.37036111111111109"/>
          <c:y val="3.601633129192184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Pivot_Tables!$C$17</c:f>
              <c:strCache>
                <c:ptCount val="1"/>
                <c:pt idx="0">
                  <c:v>Total</c:v>
                </c:pt>
              </c:strCache>
            </c:strRef>
          </c:tx>
          <c:spPr>
            <a:ln w="47625">
              <a:solidFill>
                <a:schemeClr val="accent1"/>
              </a:soli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Pivot_Tables!$B$18:$B$20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Pivot_Tables!$C$18:$C$20</c:f>
              <c:numCache>
                <c:formatCode>General</c:formatCode>
                <c:ptCount val="2"/>
                <c:pt idx="0">
                  <c:v>53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2-418F-930C-333D9D877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[Trailer_Movement_Analysis.xlsx]Pivot_Tables!PivotTable10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/>
              <a:t>Priority Distribution</a:t>
            </a:r>
            <a:endParaRPr lang="en-US" sz="2000" b="1"/>
          </a:p>
        </c:rich>
      </c:tx>
      <c:layout>
        <c:manualLayout>
          <c:xMode val="edge"/>
          <c:yMode val="edge"/>
          <c:x val="0.2675833333333334"/>
          <c:y val="4.064596092155147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47625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Pivot_Tables!$B$25:$B$28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Pivot_Tables!$C$25:$C$28</c:f>
              <c:numCache>
                <c:formatCode>General</c:formatCode>
                <c:ptCount val="3"/>
                <c:pt idx="0">
                  <c:v>29</c:v>
                </c:pt>
                <c:pt idx="1">
                  <c:v>10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C-420B-A045-7DB71E621F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949206144"/>
        <c:axId val="149846063"/>
      </c:barChart>
      <c:catAx>
        <c:axId val="194920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6063"/>
        <c:crosses val="autoZero"/>
        <c:auto val="1"/>
        <c:lblAlgn val="ctr"/>
        <c:lblOffset val="100"/>
        <c:noMultiLvlLbl val="0"/>
      </c:catAx>
      <c:valAx>
        <c:axId val="14984606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/>
                  <a:t>Number of Trailer 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20614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[Trailer_Movement_Analysis.xlsx]Pivot_Tables!PivotTable11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/>
              <a:t>Avg. Duration by Driver </a:t>
            </a:r>
            <a:endParaRPr lang="en-US" sz="2000" b="1"/>
          </a:p>
        </c:rich>
      </c:tx>
      <c:layout>
        <c:manualLayout>
          <c:xMode val="edge"/>
          <c:yMode val="edge"/>
          <c:x val="0.15647222222222223"/>
          <c:y val="3.601633129192184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Pivot_Tables!$G$2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Pivot_Tables!$F$3:$F$5</c:f>
              <c:strCache>
                <c:ptCount val="2"/>
                <c:pt idx="0">
                  <c:v>John</c:v>
                </c:pt>
                <c:pt idx="1">
                  <c:v>Kanwar</c:v>
                </c:pt>
              </c:strCache>
            </c:strRef>
          </c:cat>
          <c:val>
            <c:numRef>
              <c:f>Pivot_Tables!$G$3:$G$5</c:f>
              <c:numCache>
                <c:formatCode>0</c:formatCode>
                <c:ptCount val="2"/>
                <c:pt idx="0">
                  <c:v>17.578947368421051</c:v>
                </c:pt>
                <c:pt idx="1">
                  <c:v>16.264705882352935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7-4799-AFDE-09EC17B4BE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949206144"/>
        <c:axId val="149846063"/>
      </c:barChart>
      <c:catAx>
        <c:axId val="194920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6063"/>
        <c:crosses val="autoZero"/>
        <c:auto val="1"/>
        <c:lblAlgn val="ctr"/>
        <c:lblOffset val="100"/>
        <c:noMultiLvlLbl val="0"/>
      </c:catAx>
      <c:valAx>
        <c:axId val="149846063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baseline="0"/>
                  <a:t>Average Duration (Minutes)</a:t>
                </a:r>
                <a:endParaRPr lang="en-US" sz="1100" b="0"/>
              </a:p>
            </c:rich>
          </c:tx>
          <c:layout>
            <c:manualLayout>
              <c:xMode val="edge"/>
              <c:yMode val="edge"/>
              <c:x val="0.35041316710411197"/>
              <c:y val="0.882268518518518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20614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[Trailer_Movement_Analysis.xlsx]Pivot_Tables!PivotTable2</c:name>
    <c:fmtId val="5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Trailer Moves by Driver</a:t>
            </a:r>
          </a:p>
        </c:rich>
      </c:tx>
      <c:layout>
        <c:manualLayout>
          <c:xMode val="edge"/>
          <c:yMode val="edge"/>
          <c:x val="0.24258333333333335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47625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Pivot_Tables!$B$3:$B$5</c:f>
              <c:strCache>
                <c:ptCount val="2"/>
                <c:pt idx="0">
                  <c:v>John</c:v>
                </c:pt>
                <c:pt idx="1">
                  <c:v>Kanwar</c:v>
                </c:pt>
              </c:strCache>
            </c:strRef>
          </c:cat>
          <c:val>
            <c:numRef>
              <c:f>Pivot_Tables!$C$3:$C$5</c:f>
              <c:numCache>
                <c:formatCode>General</c:formatCode>
                <c:ptCount val="2"/>
                <c:pt idx="0">
                  <c:v>21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3-449A-8534-67421AC9417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949206144"/>
        <c:axId val="149846063"/>
      </c:barChart>
      <c:catAx>
        <c:axId val="194920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6063"/>
        <c:crosses val="autoZero"/>
        <c:auto val="1"/>
        <c:lblAlgn val="ctr"/>
        <c:lblOffset val="100"/>
        <c:noMultiLvlLbl val="0"/>
      </c:catAx>
      <c:valAx>
        <c:axId val="14984606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/>
                  <a:t>Number of Trailer 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20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[Trailer_Movement_Analysis.xlsx]Pivot_Tables!PivotTable11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/>
              <a:t>Avg. Duration by Driver </a:t>
            </a:r>
            <a:endParaRPr lang="en-US" sz="2000" b="1"/>
          </a:p>
        </c:rich>
      </c:tx>
      <c:layout>
        <c:manualLayout>
          <c:xMode val="edge"/>
          <c:yMode val="edge"/>
          <c:x val="0.15647222222222223"/>
          <c:y val="3.601633129192184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476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Pivot_Tables!$G$2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Pivot_Tables!$F$3:$F$5</c:f>
              <c:strCache>
                <c:ptCount val="2"/>
                <c:pt idx="0">
                  <c:v>John</c:v>
                </c:pt>
                <c:pt idx="1">
                  <c:v>Kanwar</c:v>
                </c:pt>
              </c:strCache>
            </c:strRef>
          </c:cat>
          <c:val>
            <c:numRef>
              <c:f>Pivot_Tables!$G$3:$G$5</c:f>
              <c:numCache>
                <c:formatCode>0</c:formatCode>
                <c:ptCount val="2"/>
                <c:pt idx="0">
                  <c:v>17.578947368421051</c:v>
                </c:pt>
                <c:pt idx="1">
                  <c:v>16.264705882352935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7-4799-AFDE-09EC17B4BE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949206144"/>
        <c:axId val="149846063"/>
      </c:barChart>
      <c:catAx>
        <c:axId val="194920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6063"/>
        <c:crosses val="autoZero"/>
        <c:auto val="1"/>
        <c:lblAlgn val="ctr"/>
        <c:lblOffset val="100"/>
        <c:noMultiLvlLbl val="0"/>
      </c:catAx>
      <c:valAx>
        <c:axId val="149846063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baseline="0"/>
                  <a:t>Average Duration (Minutes)</a:t>
                </a:r>
                <a:endParaRPr lang="en-US" sz="1100" b="0"/>
              </a:p>
            </c:rich>
          </c:tx>
          <c:layout>
            <c:manualLayout>
              <c:xMode val="edge"/>
              <c:yMode val="edge"/>
              <c:x val="0.35041316710411197"/>
              <c:y val="0.882268518518518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20614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</xdr:row>
      <xdr:rowOff>28575</xdr:rowOff>
    </xdr:from>
    <xdr:to>
      <xdr:col>8</xdr:col>
      <xdr:colOff>142875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871B2E-9836-4752-9A54-144B4D16F5D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447675</xdr:colOff>
      <xdr:row>19</xdr:row>
      <xdr:rowOff>104775</xdr:rowOff>
    </xdr:from>
    <xdr:to>
      <xdr:col>8</xdr:col>
      <xdr:colOff>142875</xdr:colOff>
      <xdr:row>33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B3803A-7486-472B-AD56-06ABDAF2C03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</xdr:row>
      <xdr:rowOff>114300</xdr:rowOff>
    </xdr:from>
    <xdr:to>
      <xdr:col>15</xdr:col>
      <xdr:colOff>304800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28DF34-5A75-462F-9920-BAE8CE07127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20</xdr:row>
      <xdr:rowOff>114300</xdr:rowOff>
    </xdr:from>
    <xdr:to>
      <xdr:col>23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6B813D-208C-4CDD-AD20-253A9356C51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23</xdr:col>
      <xdr:colOff>304800</xdr:colOff>
      <xdr:row>17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41C3BF-BAF4-44DE-BAE6-D8FFC1D03D7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514350</xdr:colOff>
      <xdr:row>2</xdr:row>
      <xdr:rowOff>47625</xdr:rowOff>
    </xdr:from>
    <xdr:to>
      <xdr:col>8</xdr:col>
      <xdr:colOff>209550</xdr:colOff>
      <xdr:row>16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934623-76F0-19AC-A3D4-F984E0249E2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66675</xdr:colOff>
      <xdr:row>3</xdr:row>
      <xdr:rowOff>19050</xdr:rowOff>
    </xdr:from>
    <xdr:to>
      <xdr:col>23</xdr:col>
      <xdr:colOff>371475</xdr:colOff>
      <xdr:row>17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6B1B6D3-AA20-32CB-72E2-6774762DE5E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wardeep Singh" refreshedDate="46212.838908449077" createdVersion="8" refreshedVersion="8" minRefreshableVersion="3" recordCount="62" xr:uid="{9100F65E-266C-4E23-B26D-4722A6FC31EB}">
  <cacheSource type="worksheet">
    <worksheetSource name="Table1"/>
  </cacheSource>
  <cacheFields count="12">
    <cacheField name="Date" numFmtId="14">
      <sharedItems containsSemiMixedTypes="0" containsNonDate="0" containsDate="1" containsString="0" minDate="2026-06-01T00:00:00" maxDate="2026-07-02T00:00:00"/>
    </cacheField>
    <cacheField name="Trailer ID" numFmtId="0">
      <sharedItems/>
    </cacheField>
    <cacheField name="Driver" numFmtId="0">
      <sharedItems count="2">
        <s v="John"/>
        <s v="Kanwar"/>
      </sharedItems>
    </cacheField>
    <cacheField name="Shift" numFmtId="20">
      <sharedItems count="2">
        <s v="Evening(5 PM-5 AM)"/>
        <s v="Morning(5 AM-5 PM)"/>
      </sharedItems>
    </cacheField>
    <cacheField name="Dock" numFmtId="0">
      <sharedItems containsSemiMixedTypes="0" containsString="0" containsNumber="1" containsInteger="1" minValue="1" maxValue="5"/>
    </cacheField>
    <cacheField name="Yard loaction" numFmtId="0">
      <sharedItems/>
    </cacheField>
    <cacheField name="Status" numFmtId="0">
      <sharedItems/>
    </cacheField>
    <cacheField name="Move Request" numFmtId="18">
      <sharedItems containsSemiMixedTypes="0" containsNonDate="0" containsDate="1" containsString="0" minDate="1899-12-30T01:01:00" maxDate="1899-12-30T23:56:00"/>
    </cacheField>
    <cacheField name="Move Completed" numFmtId="18">
      <sharedItems containsNonDate="0" containsDate="1" containsString="0" containsBlank="1" minDate="1899-12-30T01:13:00" maxDate="1899-12-30T23:45:00"/>
    </cacheField>
    <cacheField name="Duration (minutes)" numFmtId="0">
      <sharedItems containsMixedTypes="1" containsNumber="1" minValue="4.9999999999999822" maxValue="30.000000000000053" count="34">
        <n v="10.000000000000004"/>
        <n v="21.999999999999922"/>
        <n v="8.999999999999968"/>
        <n v="15.999999999999982"/>
        <n v="25.999999999999986"/>
        <n v="14.00000000000003"/>
        <n v="13.99999999999995"/>
        <n v="11.999999999999957"/>
        <n v="13.000000000000034"/>
        <n v="27.000000000000064"/>
        <n v="6.9999999999999751"/>
        <n v="12.999999999999954"/>
        <n v="26.000000000000068"/>
        <n v="17.999999999999936"/>
        <n v="11.999999999999996"/>
        <n v="4.9999999999999822"/>
        <n v="6.0000000000000187"/>
        <n v="18.000000000000014"/>
        <s v=""/>
        <n v="28.999999999999979"/>
        <n v="16.000000000000021"/>
        <n v="26.999999999999986"/>
        <n v="30.000000000000014"/>
        <n v="23.999999999999993"/>
        <n v="24.000000000000075"/>
        <n v="18.999999999999932"/>
        <n v="5.9999999999999787"/>
        <n v="28.00000000000006"/>
        <n v="16.99999999999994"/>
        <n v="30.000000000000053"/>
        <n v="23"/>
        <n v="11"/>
        <n v="25.000000000000071"/>
        <n v="21.000000000000007"/>
      </sharedItems>
    </cacheField>
    <cacheField name="Priorty" numFmtId="0">
      <sharedItems count="7">
        <s v="High"/>
        <s v="Medium"/>
        <s v="Low"/>
        <s v="" u="1"/>
        <s v="Hgh" u="1"/>
        <s v=" High" u="1"/>
        <s v="High " u="1"/>
      </sharedItems>
    </cacheField>
    <cacheField name="Move Status" numFmtId="18">
      <sharedItems count="2">
        <s v="Completed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d v="2026-06-19T00:00:00"/>
    <s v="XPO4905"/>
    <x v="0"/>
    <x v="0"/>
    <n v="4"/>
    <s v="Alhambra, Ca"/>
    <s v="Loaded"/>
    <d v="1899-12-30T01:54:00"/>
    <d v="1899-12-30T02:04:00"/>
    <x v="0"/>
    <x v="0"/>
    <x v="0"/>
  </r>
  <r>
    <d v="2026-06-01T00:00:00"/>
    <s v="FDX4381"/>
    <x v="1"/>
    <x v="1"/>
    <n v="1"/>
    <s v="Alhambra, Ca"/>
    <s v="Loaded"/>
    <d v="1899-12-30T14:14:00"/>
    <d v="1899-12-30T14:36:00"/>
    <x v="1"/>
    <x v="1"/>
    <x v="0"/>
  </r>
  <r>
    <d v="2026-06-13T00:00:00"/>
    <s v="JBHT9261"/>
    <x v="0"/>
    <x v="0"/>
    <n v="4"/>
    <s v="Alhambra, Ca"/>
    <s v="Loaded"/>
    <d v="1899-12-30T20:20:00"/>
    <d v="1899-12-30T20:29:00"/>
    <x v="2"/>
    <x v="0"/>
    <x v="0"/>
  </r>
  <r>
    <d v="2026-06-08T00:00:00"/>
    <s v="JBHT-1440"/>
    <x v="0"/>
    <x v="0"/>
    <n v="1"/>
    <s v="Alhambra, Ca"/>
    <s v="At Dock"/>
    <d v="1899-12-30T03:26:00"/>
    <d v="1899-12-30T03:42:00"/>
    <x v="3"/>
    <x v="0"/>
    <x v="0"/>
  </r>
  <r>
    <d v="2026-06-28T00:00:00"/>
    <s v="TR5206"/>
    <x v="0"/>
    <x v="0"/>
    <n v="5"/>
    <s v="Alhambra, Ca"/>
    <s v="Empty"/>
    <d v="1899-12-30T04:28:00"/>
    <d v="1899-12-30T04:54:00"/>
    <x v="4"/>
    <x v="0"/>
    <x v="0"/>
  </r>
  <r>
    <d v="2026-06-14T00:00:00"/>
    <s v="JBHT5146"/>
    <x v="1"/>
    <x v="1"/>
    <n v="1"/>
    <s v="Alhambra, Ca"/>
    <s v="Loaded"/>
    <d v="1899-12-30T09:44:00"/>
    <d v="1899-12-30T09:58:00"/>
    <x v="5"/>
    <x v="2"/>
    <x v="0"/>
  </r>
  <r>
    <d v="2026-06-07T00:00:00"/>
    <s v="FDX1060"/>
    <x v="1"/>
    <x v="1"/>
    <n v="5"/>
    <s v="Alhambra, Ca"/>
    <s v="At Dock"/>
    <d v="1899-12-30T12:08:00"/>
    <d v="1899-12-30T12:22:00"/>
    <x v="6"/>
    <x v="1"/>
    <x v="0"/>
  </r>
  <r>
    <d v="2026-06-25T00:00:00"/>
    <s v="JBHT3513"/>
    <x v="0"/>
    <x v="0"/>
    <n v="1"/>
    <s v=" Alhambra, Ca"/>
    <s v="Loaded"/>
    <d v="1899-12-30T19:44:00"/>
    <d v="1899-12-30T19:56:00"/>
    <x v="7"/>
    <x v="1"/>
    <x v="0"/>
  </r>
  <r>
    <d v="2026-06-27T00:00:00"/>
    <s v="TR2347"/>
    <x v="1"/>
    <x v="1"/>
    <n v="4"/>
    <s v="Alhambra, Ca"/>
    <s v="Empty"/>
    <d v="1899-12-30T08:30:00"/>
    <d v="1899-12-30T08:43:00"/>
    <x v="8"/>
    <x v="0"/>
    <x v="0"/>
  </r>
  <r>
    <d v="2026-06-20T00:00:00"/>
    <s v="SWFT-4566"/>
    <x v="1"/>
    <x v="1"/>
    <n v="2"/>
    <s v="Alhambra, Ca"/>
    <s v="Empty"/>
    <d v="1899-12-30T13:59:00"/>
    <d v="1899-12-30T14:26:00"/>
    <x v="9"/>
    <x v="1"/>
    <x v="0"/>
  </r>
  <r>
    <d v="2026-06-14T00:00:00"/>
    <s v="JBHT2021"/>
    <x v="1"/>
    <x v="1"/>
    <n v="3"/>
    <s v="Alhambra, Ca "/>
    <s v="Empty"/>
    <d v="1899-12-30T08:30:00"/>
    <d v="1899-12-30T08:37:00"/>
    <x v="10"/>
    <x v="2"/>
    <x v="0"/>
  </r>
  <r>
    <d v="2026-06-29T00:00:00"/>
    <s v="XPO5397"/>
    <x v="1"/>
    <x v="1"/>
    <n v="3"/>
    <s v="Alhambra, Ca"/>
    <s v="Loaded"/>
    <d v="1899-12-30T13:12:00"/>
    <d v="1899-12-30T13:25:00"/>
    <x v="11"/>
    <x v="0"/>
    <x v="0"/>
  </r>
  <r>
    <d v="2026-06-06T00:00:00"/>
    <s v="JBHT8066"/>
    <x v="0"/>
    <x v="0"/>
    <n v="5"/>
    <s v="Alhambra Ca"/>
    <s v="Loaded"/>
    <d v="1899-12-30T21:57:00"/>
    <d v="1899-12-30T22:23:00"/>
    <x v="12"/>
    <x v="0"/>
    <x v="0"/>
  </r>
  <r>
    <d v="2026-06-18T00:00:00"/>
    <s v="FDX-7009"/>
    <x v="1"/>
    <x v="1"/>
    <n v="3"/>
    <s v="Alhambra, Ca"/>
    <s v="Empty"/>
    <d v="1899-12-30T14:31:00"/>
    <d v="1899-12-30T14:49:00"/>
    <x v="13"/>
    <x v="1"/>
    <x v="0"/>
  </r>
  <r>
    <d v="2026-06-06T00:00:00"/>
    <s v="XPO2356"/>
    <x v="1"/>
    <x v="1"/>
    <n v="4"/>
    <s v="Alhambra, Ca"/>
    <s v="Empty"/>
    <d v="1899-12-30T10:28:00"/>
    <d v="1899-12-30T10:37:00"/>
    <x v="2"/>
    <x v="1"/>
    <x v="0"/>
  </r>
  <r>
    <d v="2026-06-16T00:00:00"/>
    <s v="TR8137"/>
    <x v="0"/>
    <x v="0"/>
    <n v="3"/>
    <s v="Alhambra, Ca"/>
    <s v="Loaded"/>
    <d v="1899-12-30T01:01:00"/>
    <d v="1899-12-30T01:13:00"/>
    <x v="14"/>
    <x v="1"/>
    <x v="0"/>
  </r>
  <r>
    <d v="2026-06-10T00:00:00"/>
    <s v="SWFT2433"/>
    <x v="1"/>
    <x v="1"/>
    <n v="4"/>
    <s v="Alhambra, Ca"/>
    <s v="Loaded"/>
    <d v="1899-12-30T14:26:00"/>
    <d v="1899-12-30T14:35:00"/>
    <x v="2"/>
    <x v="1"/>
    <x v="0"/>
  </r>
  <r>
    <d v="2026-06-02T00:00:00"/>
    <s v="XPO1718"/>
    <x v="0"/>
    <x v="0"/>
    <n v="4"/>
    <s v="Alhambra, Ca"/>
    <s v="Loaded"/>
    <d v="1899-12-30T20:14:00"/>
    <d v="1899-12-30T20:26:00"/>
    <x v="7"/>
    <x v="2"/>
    <x v="0"/>
  </r>
  <r>
    <d v="2026-06-20T00:00:00"/>
    <s v="FDX1422"/>
    <x v="1"/>
    <x v="1"/>
    <n v="1"/>
    <s v="Alhambra,CA"/>
    <s v="Empty"/>
    <d v="1899-12-30T14:41:00"/>
    <d v="1899-12-30T14:46:00"/>
    <x v="15"/>
    <x v="1"/>
    <x v="0"/>
  </r>
  <r>
    <d v="2026-07-01T00:00:00"/>
    <s v="TR5949"/>
    <x v="1"/>
    <x v="1"/>
    <n v="4"/>
    <s v="Alhambra, Ca"/>
    <s v="Empty"/>
    <d v="1899-12-30T13:40:00"/>
    <d v="1899-12-30T14:07:00"/>
    <x v="9"/>
    <x v="1"/>
    <x v="0"/>
  </r>
  <r>
    <d v="2026-06-25T00:00:00"/>
    <s v="FDX8732"/>
    <x v="1"/>
    <x v="1"/>
    <n v="2"/>
    <s v="Alhambra, Ca"/>
    <s v=""/>
    <d v="1899-12-30T05:27:00"/>
    <d v="1899-12-30T05:33:00"/>
    <x v="16"/>
    <x v="1"/>
    <x v="0"/>
  </r>
  <r>
    <d v="2026-06-16T00:00:00"/>
    <s v="FDX9249"/>
    <x v="1"/>
    <x v="1"/>
    <n v="4"/>
    <s v="Alhambra, Ca"/>
    <s v="Loaded"/>
    <d v="1899-12-30T10:46:00"/>
    <d v="1899-12-30T11:04:00"/>
    <x v="17"/>
    <x v="2"/>
    <x v="0"/>
  </r>
  <r>
    <d v="2026-06-10T00:00:00"/>
    <s v="SWFT4297"/>
    <x v="1"/>
    <x v="1"/>
    <n v="4"/>
    <s v="Alhambra, Ca "/>
    <s v=""/>
    <d v="1899-12-30T09:38:00"/>
    <d v="1899-12-30T09:51:00"/>
    <x v="8"/>
    <x v="2"/>
    <x v="0"/>
  </r>
  <r>
    <d v="2026-06-05T00:00:00"/>
    <s v="XPO5126"/>
    <x v="1"/>
    <x v="1"/>
    <n v="2"/>
    <s v=" Alhambra, Ca"/>
    <s v="At Dock"/>
    <d v="1899-12-30T11:48:00"/>
    <d v="1899-12-30T11:55:00"/>
    <x v="10"/>
    <x v="0"/>
    <x v="0"/>
  </r>
  <r>
    <d v="2026-06-24T00:00:00"/>
    <s v="TR7166"/>
    <x v="0"/>
    <x v="0"/>
    <n v="2"/>
    <s v="Alhambra, Ca"/>
    <s v="At Dock"/>
    <d v="1899-12-30T23:56:00"/>
    <m/>
    <x v="18"/>
    <x v="0"/>
    <x v="1"/>
  </r>
  <r>
    <d v="2026-06-16T00:00:00"/>
    <s v="JBHT-1568"/>
    <x v="1"/>
    <x v="1"/>
    <n v="1"/>
    <s v="Alhambra Ca"/>
    <s v="Empty"/>
    <d v="1899-12-30T11:29:00"/>
    <m/>
    <x v="18"/>
    <x v="0"/>
    <x v="1"/>
  </r>
  <r>
    <d v="2026-06-29T00:00:00"/>
    <s v="FDX-7343"/>
    <x v="1"/>
    <x v="1"/>
    <n v="1"/>
    <s v="Alhambra, Ca"/>
    <s v="At Dock"/>
    <d v="1899-12-30T08:30:00"/>
    <d v="1899-12-30T08:59:00"/>
    <x v="19"/>
    <x v="1"/>
    <x v="0"/>
  </r>
  <r>
    <d v="2026-06-20T00:00:00"/>
    <s v="XPO3212"/>
    <x v="0"/>
    <x v="0"/>
    <n v="4"/>
    <s v="Alhambra, Ca"/>
    <s v="Loaded"/>
    <d v="1899-12-30T20:42:00"/>
    <m/>
    <x v="18"/>
    <x v="0"/>
    <x v="1"/>
  </r>
  <r>
    <d v="2026-06-20T00:00:00"/>
    <s v="SWFT-8359"/>
    <x v="1"/>
    <x v="1"/>
    <n v="1"/>
    <s v="Alhambra, Ca"/>
    <s v="Empty"/>
    <d v="1899-12-30T05:06:00"/>
    <d v="1899-12-30T05:11:00"/>
    <x v="15"/>
    <x v="1"/>
    <x v="0"/>
  </r>
  <r>
    <d v="2026-06-07T00:00:00"/>
    <s v="XPO1647"/>
    <x v="1"/>
    <x v="1"/>
    <n v="4"/>
    <s v="Alhambra Ca"/>
    <s v="Empty"/>
    <d v="1899-12-30T15:38:00"/>
    <d v="1899-12-30T15:51:00"/>
    <x v="11"/>
    <x v="0"/>
    <x v="0"/>
  </r>
  <r>
    <d v="2026-06-19T00:00:00"/>
    <s v="CRST6065"/>
    <x v="1"/>
    <x v="1"/>
    <n v="4"/>
    <s v="Alhambra, Ca "/>
    <s v="Loaded"/>
    <d v="1899-12-30T10:35:00"/>
    <d v="1899-12-30T10:51:00"/>
    <x v="20"/>
    <x v="0"/>
    <x v="0"/>
  </r>
  <r>
    <d v="2026-06-17T00:00:00"/>
    <s v="XPO-3158"/>
    <x v="1"/>
    <x v="1"/>
    <n v="4"/>
    <s v="Alhambra, Ca"/>
    <s v="At Dock"/>
    <d v="1899-12-30T11:28:00"/>
    <d v="1899-12-30T11:35:00"/>
    <x v="10"/>
    <x v="1"/>
    <x v="0"/>
  </r>
  <r>
    <d v="2026-06-17T00:00:00"/>
    <s v="CRST4344"/>
    <x v="0"/>
    <x v="0"/>
    <n v="4"/>
    <s v="Alhambra, Ca"/>
    <s v="At Dock"/>
    <d v="1899-12-30T04:29:00"/>
    <d v="1899-12-30T04:56:00"/>
    <x v="21"/>
    <x v="1"/>
    <x v="0"/>
  </r>
  <r>
    <d v="2026-06-29T00:00:00"/>
    <s v="XPO1965"/>
    <x v="1"/>
    <x v="1"/>
    <n v="4"/>
    <s v="Alhambra,CA"/>
    <s v="Loaded"/>
    <d v="1899-12-30T05:49:00"/>
    <d v="1899-12-30T06:19:00"/>
    <x v="22"/>
    <x v="1"/>
    <x v="0"/>
  </r>
  <r>
    <d v="2026-07-01T00:00:00"/>
    <s v="FDX7293"/>
    <x v="1"/>
    <x v="1"/>
    <n v="5"/>
    <s v="Alhambra, Ca"/>
    <s v="Empty"/>
    <d v="1899-12-30T08:10:00"/>
    <m/>
    <x v="18"/>
    <x v="0"/>
    <x v="1"/>
  </r>
  <r>
    <d v="2026-06-19T00:00:00"/>
    <s v="JBHT9132"/>
    <x v="1"/>
    <x v="1"/>
    <n v="4"/>
    <s v="Alhambra Ca"/>
    <s v="Loaded"/>
    <d v="1899-12-30T05:40:00"/>
    <m/>
    <x v="18"/>
    <x v="0"/>
    <x v="1"/>
  </r>
  <r>
    <d v="2026-06-15T00:00:00"/>
    <s v="TR9732"/>
    <x v="0"/>
    <x v="0"/>
    <n v="5"/>
    <s v=" Alhambra, Ca"/>
    <s v="Loaded"/>
    <d v="1899-12-30T02:00:00"/>
    <d v="1899-12-30T02:24:00"/>
    <x v="23"/>
    <x v="1"/>
    <x v="0"/>
  </r>
  <r>
    <d v="2026-06-21T00:00:00"/>
    <s v="TR9838"/>
    <x v="0"/>
    <x v="0"/>
    <n v="5"/>
    <s v="Alhambra,CA"/>
    <s v="Loaded"/>
    <d v="1899-12-30T22:38:00"/>
    <d v="1899-12-30T22:43:00"/>
    <x v="15"/>
    <x v="0"/>
    <x v="0"/>
  </r>
  <r>
    <d v="2026-06-01T00:00:00"/>
    <s v="TR4719"/>
    <x v="0"/>
    <x v="0"/>
    <n v="1"/>
    <s v="Alhambra, Ca"/>
    <s v="In Yard"/>
    <d v="1899-12-30T23:33:00"/>
    <d v="1899-12-30T23:45:00"/>
    <x v="7"/>
    <x v="1"/>
    <x v="0"/>
  </r>
  <r>
    <d v="2026-06-22T00:00:00"/>
    <s v="TR2000"/>
    <x v="0"/>
    <x v="0"/>
    <n v="1"/>
    <s v="Alhambra, Ca"/>
    <s v="Empty"/>
    <d v="1899-12-30T17:34:00"/>
    <d v="1899-12-30T17:58:00"/>
    <x v="24"/>
    <x v="1"/>
    <x v="0"/>
  </r>
  <r>
    <d v="2026-06-12T00:00:00"/>
    <s v="JBHT-2144"/>
    <x v="1"/>
    <x v="1"/>
    <n v="3"/>
    <s v=" Alhambra, Ca"/>
    <s v="Empty"/>
    <d v="1899-12-30T08:30:00"/>
    <d v="1899-12-30T08:56:00"/>
    <x v="4"/>
    <x v="0"/>
    <x v="0"/>
  </r>
  <r>
    <d v="2026-06-23T00:00:00"/>
    <s v="FDX-1267"/>
    <x v="1"/>
    <x v="1"/>
    <n v="4"/>
    <s v="Alhambra Ca"/>
    <s v="Loaded"/>
    <d v="1899-12-30T10:40:00"/>
    <d v="1899-12-30T10:54:00"/>
    <x v="5"/>
    <x v="2"/>
    <x v="0"/>
  </r>
  <r>
    <d v="2026-06-13T00:00:00"/>
    <s v="FDX9627"/>
    <x v="1"/>
    <x v="1"/>
    <n v="1"/>
    <s v="Alhambra,CA"/>
    <s v="In Yard"/>
    <d v="1899-12-30T15:47:00"/>
    <d v="1899-12-30T16:06:00"/>
    <x v="25"/>
    <x v="2"/>
    <x v="0"/>
  </r>
  <r>
    <d v="2026-06-23T00:00:00"/>
    <s v="XPO7719"/>
    <x v="1"/>
    <x v="1"/>
    <n v="4"/>
    <s v="Alhambra, Ca"/>
    <s v="Loaded"/>
    <d v="1899-12-30T06:24:00"/>
    <d v="1899-12-30T06:30:00"/>
    <x v="26"/>
    <x v="0"/>
    <x v="0"/>
  </r>
  <r>
    <d v="2026-06-16T00:00:00"/>
    <s v="FDX5500"/>
    <x v="0"/>
    <x v="0"/>
    <n v="3"/>
    <s v="Alhambra, Ca"/>
    <s v="In Yard"/>
    <d v="1899-12-30T19:13:00"/>
    <d v="1899-12-30T19:41:00"/>
    <x v="27"/>
    <x v="0"/>
    <x v="0"/>
  </r>
  <r>
    <d v="2026-06-07T00:00:00"/>
    <s v="TR4534"/>
    <x v="1"/>
    <x v="1"/>
    <n v="5"/>
    <s v="Alhambra, Ca"/>
    <s v="At Dock"/>
    <d v="1899-12-30T14:14:00"/>
    <m/>
    <x v="18"/>
    <x v="0"/>
    <x v="1"/>
  </r>
  <r>
    <d v="2026-06-03T00:00:00"/>
    <s v="XPO3376"/>
    <x v="0"/>
    <x v="0"/>
    <n v="5"/>
    <s v="Alhambra, Ca "/>
    <s v=""/>
    <d v="1899-12-30T17:51:00"/>
    <d v="1899-12-30T18:08:00"/>
    <x v="28"/>
    <x v="0"/>
    <x v="0"/>
  </r>
  <r>
    <d v="2026-06-22T00:00:00"/>
    <s v="FDX7255"/>
    <x v="1"/>
    <x v="1"/>
    <n v="1"/>
    <s v="Alhambra, Ca"/>
    <s v="Loaded"/>
    <d v="1899-12-30T11:34:00"/>
    <d v="1899-12-30T11:39:00"/>
    <x v="15"/>
    <x v="0"/>
    <x v="0"/>
  </r>
  <r>
    <d v="2026-06-27T00:00:00"/>
    <s v="SWFT3611"/>
    <x v="1"/>
    <x v="1"/>
    <n v="5"/>
    <s v="Alhambra,CA"/>
    <s v="Empty"/>
    <d v="1899-12-30T16:41:00"/>
    <d v="1899-12-30T17:11:00"/>
    <x v="29"/>
    <x v="1"/>
    <x v="0"/>
  </r>
  <r>
    <d v="2026-06-23T00:00:00"/>
    <s v="CRST1090"/>
    <x v="1"/>
    <x v="1"/>
    <n v="3"/>
    <s v="Alhambra, Ca"/>
    <s v=""/>
    <d v="1899-12-30T15:12:00"/>
    <m/>
    <x v="18"/>
    <x v="0"/>
    <x v="1"/>
  </r>
  <r>
    <d v="2026-06-16T00:00:00"/>
    <s v="CRST7338"/>
    <x v="1"/>
    <x v="1"/>
    <n v="3"/>
    <s v="Alhambra, Ca "/>
    <s v="Empty"/>
    <d v="1899-12-30T08:30:00"/>
    <d v="1899-12-30T08:53:00"/>
    <x v="30"/>
    <x v="0"/>
    <x v="0"/>
  </r>
  <r>
    <d v="2026-06-18T00:00:00"/>
    <s v="FDX3349"/>
    <x v="0"/>
    <x v="0"/>
    <n v="2"/>
    <s v="Alhambra, Ca"/>
    <s v="Empty"/>
    <d v="1899-12-30T20:07:00"/>
    <d v="1899-12-30T20:33:00"/>
    <x v="12"/>
    <x v="2"/>
    <x v="0"/>
  </r>
  <r>
    <d v="2026-06-05T00:00:00"/>
    <s v="FDX1955"/>
    <x v="1"/>
    <x v="1"/>
    <n v="5"/>
    <s v="Alhambra, Ca"/>
    <s v="Empty"/>
    <d v="1899-12-30T08:30:00"/>
    <d v="1899-12-30T08:57:00"/>
    <x v="21"/>
    <x v="0"/>
    <x v="0"/>
  </r>
  <r>
    <d v="2026-06-16T00:00:00"/>
    <s v="CRST-5991"/>
    <x v="0"/>
    <x v="0"/>
    <n v="5"/>
    <s v=" Alhambra, Ca"/>
    <s v="Loaded"/>
    <d v="1899-12-30T17:32:00"/>
    <d v="1899-12-30T17:44:00"/>
    <x v="7"/>
    <x v="1"/>
    <x v="0"/>
  </r>
  <r>
    <d v="2026-06-04T00:00:00"/>
    <s v="SWFT6867"/>
    <x v="0"/>
    <x v="0"/>
    <n v="4"/>
    <s v="Alhambra, Ca"/>
    <s v="Loaded"/>
    <d v="1899-12-30T02:47:00"/>
    <d v="1899-12-30T02:58:00"/>
    <x v="31"/>
    <x v="1"/>
    <x v="0"/>
  </r>
  <r>
    <d v="2026-06-09T00:00:00"/>
    <s v="CRST8909"/>
    <x v="1"/>
    <x v="1"/>
    <n v="1"/>
    <s v="Alhambra, Ca"/>
    <s v="Empty"/>
    <d v="1899-12-30T07:53:00"/>
    <m/>
    <x v="18"/>
    <x v="0"/>
    <x v="1"/>
  </r>
  <r>
    <d v="2026-06-06T00:00:00"/>
    <s v="JBHT1396"/>
    <x v="0"/>
    <x v="0"/>
    <n v="3"/>
    <s v=" Alhambra, Ca"/>
    <s v="Empty"/>
    <d v="1899-12-30T19:32:00"/>
    <d v="1899-12-30T19:57:00"/>
    <x v="32"/>
    <x v="1"/>
    <x v="0"/>
  </r>
  <r>
    <d v="2026-06-12T00:00:00"/>
    <s v="TR9699"/>
    <x v="1"/>
    <x v="1"/>
    <n v="5"/>
    <s v="Alhambra, Ca"/>
    <s v="Empty"/>
    <d v="1899-12-30T08:30:00"/>
    <d v="1899-12-30T08:51:00"/>
    <x v="33"/>
    <x v="2"/>
    <x v="0"/>
  </r>
  <r>
    <d v="2026-06-21T00:00:00"/>
    <s v="CRST7954"/>
    <x v="1"/>
    <x v="1"/>
    <n v="3"/>
    <s v="Alhambra, Ca"/>
    <s v="Empty"/>
    <d v="1899-12-30T09:43:00"/>
    <d v="1899-12-30T09:50:00"/>
    <x v="10"/>
    <x v="0"/>
    <x v="0"/>
  </r>
  <r>
    <d v="2026-06-10T00:00:00"/>
    <s v="XPO4802"/>
    <x v="1"/>
    <x v="1"/>
    <n v="3"/>
    <s v="Alhambra, Ca"/>
    <s v="In Yard"/>
    <d v="1899-12-30T08:30:00"/>
    <d v="1899-12-30T08:54:00"/>
    <x v="23"/>
    <x v="0"/>
    <x v="0"/>
  </r>
  <r>
    <d v="2026-06-12T00:00:00"/>
    <s v="XPO1845"/>
    <x v="1"/>
    <x v="1"/>
    <n v="4"/>
    <s v="Alhambra, Ca"/>
    <s v="In Yard"/>
    <d v="1899-12-30T08:30:00"/>
    <d v="1899-12-30T08:59:00"/>
    <x v="19"/>
    <x v="2"/>
    <x v="0"/>
  </r>
  <r>
    <d v="2026-06-19T00:00:00"/>
    <s v="FDX8579"/>
    <x v="1"/>
    <x v="1"/>
    <n v="2"/>
    <s v="Alhambra, Ca"/>
    <s v="Loaded"/>
    <d v="1899-12-30T05:56:00"/>
    <m/>
    <x v="18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D1479-179C-4F46-B8A0-04D6180EAB9B}" name="PivotTable1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17:G21" firstHeaderRow="1" firstDataRow="1" firstDataCol="1"/>
  <pivotFields count="12">
    <pivotField numFmtId="14" showAll="0"/>
    <pivotField dataField="1" showAll="0"/>
    <pivotField showAll="0"/>
    <pivotField showAll="0"/>
    <pivotField showAll="0"/>
    <pivotField showAll="0"/>
    <pivotField showAll="0"/>
    <pivotField numFmtId="18" showAll="0"/>
    <pivotField showAll="0"/>
    <pivotField showAll="0"/>
    <pivotField axis="axisRow" showAll="0">
      <items count="8">
        <item m="1" x="3"/>
        <item m="1" x="5"/>
        <item m="1" x="4"/>
        <item x="0"/>
        <item m="1" x="6"/>
        <item x="2"/>
        <item x="1"/>
        <item t="default"/>
      </items>
    </pivotField>
    <pivotField showAll="0"/>
  </pivotFields>
  <rowFields count="1">
    <field x="10"/>
  </rowFields>
  <rowItems count="4">
    <i>
      <x v="3"/>
    </i>
    <i>
      <x v="5"/>
    </i>
    <i>
      <x v="6"/>
    </i>
    <i t="grand">
      <x/>
    </i>
  </rowItems>
  <colItems count="1">
    <i/>
  </colItems>
  <dataFields count="1">
    <dataField name="Count of Trailer ID" fld="1" subtotal="count" baseField="0" baseItem="0"/>
  </dataFields>
  <chartFormats count="2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C1EBB-5FDD-4209-A013-C696D8A82E4E}" name="PivotTable10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4:C28" firstHeaderRow="1" firstDataRow="1" firstDataCol="1"/>
  <pivotFields count="12">
    <pivotField numFmtId="14" showAll="0"/>
    <pivotField dataField="1" showAll="0"/>
    <pivotField showAll="0"/>
    <pivotField showAll="0"/>
    <pivotField showAll="0"/>
    <pivotField showAll="0"/>
    <pivotField showAll="0"/>
    <pivotField numFmtId="18" showAll="0"/>
    <pivotField showAll="0"/>
    <pivotField showAll="0"/>
    <pivotField axis="axisRow" showAll="0">
      <items count="8">
        <item m="1" x="3"/>
        <item m="1" x="5"/>
        <item m="1" x="4"/>
        <item x="0"/>
        <item m="1" x="6"/>
        <item x="2"/>
        <item x="1"/>
        <item t="default"/>
      </items>
    </pivotField>
    <pivotField showAll="0"/>
  </pivotFields>
  <rowFields count="1">
    <field x="10"/>
  </rowFields>
  <rowItems count="4">
    <i>
      <x v="3"/>
    </i>
    <i>
      <x v="5"/>
    </i>
    <i>
      <x v="6"/>
    </i>
    <i t="grand">
      <x/>
    </i>
  </rowItems>
  <colItems count="1">
    <i/>
  </colItems>
  <dataFields count="1">
    <dataField name="Count of Trailer ID" fld="1" subtotal="count" baseField="0" baseItem="0"/>
  </dataFields>
  <chartFormats count="2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046A5-D33A-4A14-B179-8598DB752278}" name="PivotTable6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B17:C20" firstHeaderRow="1" firstDataRow="1" firstDataCol="1"/>
  <pivotFields count="12">
    <pivotField numFmtId="14" showAll="0"/>
    <pivotField dataField="1" showAll="0"/>
    <pivotField showAll="0"/>
    <pivotField showAll="0"/>
    <pivotField showAll="0"/>
    <pivotField showAll="0"/>
    <pivotField showAll="0"/>
    <pivotField numFmtId="18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Trailer ID" fld="1" subtotal="count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A7AF2-D0D5-4258-B187-9839F6C18820}" name="PivotTable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10:C13" firstHeaderRow="1" firstDataRow="1" firstDataCol="1"/>
  <pivotFields count="12">
    <pivotField numFmtId="14" showAll="0"/>
    <pivotField dataField="1" showAll="0"/>
    <pivotField showAll="0"/>
    <pivotField axis="axisRow" showAll="0">
      <items count="3">
        <item n="Evening" x="0"/>
        <item n="Morning" x="1"/>
        <item t="default"/>
      </items>
    </pivotField>
    <pivotField showAll="0"/>
    <pivotField showAll="0"/>
    <pivotField showAll="0"/>
    <pivotField numFmtId="18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Trailer ID" fld="1" subtotal="count" baseField="0" baseItem="0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762F6-BF37-472F-8C5C-54959E583AED}" name="PivotTable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7">
  <location ref="B2:C5" firstHeaderRow="1" firstDataRow="1" firstDataCol="1"/>
  <pivotFields count="12">
    <pivotField numFmtId="14"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8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Trailer ID" fld="1" subtotal="count" baseField="0" baseItem="0"/>
  </dataFields>
  <chartFormats count="6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11A0F-8B37-4BC7-B792-C601224BB477}" name="PivotTable1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10:G13" firstHeaderRow="1" firstDataRow="1" firstDataCol="1"/>
  <pivotFields count="12"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8" showAll="0"/>
    <pivotField showAll="0"/>
    <pivotField dataField="1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Duration (minutes)" fld="9" subtotal="average" baseField="3" baseItem="0" numFmtId="1"/>
  </dataFields>
  <chartFormats count="2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86DC4-6FFB-47D7-9646-F98BCCDB92AB}" name="PivotTable11" cacheId="5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1">
  <location ref="F2:G5" firstHeaderRow="1" firstDataRow="1" firstDataCol="1"/>
  <pivotFields count="12"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8" showAll="0"/>
    <pivotField showAll="0"/>
    <pivotField dataField="1" showAll="0">
      <items count="35">
        <item x="15"/>
        <item x="26"/>
        <item x="16"/>
        <item x="10"/>
        <item x="2"/>
        <item x="0"/>
        <item x="31"/>
        <item x="7"/>
        <item x="14"/>
        <item x="11"/>
        <item x="8"/>
        <item x="6"/>
        <item x="5"/>
        <item x="3"/>
        <item x="20"/>
        <item x="28"/>
        <item x="13"/>
        <item x="17"/>
        <item x="25"/>
        <item x="33"/>
        <item x="1"/>
        <item x="30"/>
        <item x="23"/>
        <item x="24"/>
        <item x="32"/>
        <item x="4"/>
        <item x="12"/>
        <item x="21"/>
        <item x="9"/>
        <item x="27"/>
        <item x="19"/>
        <item x="22"/>
        <item x="29"/>
        <item x="18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Duration (minutes)" fld="9" subtotal="average" baseField="0" baseItem="0" numFmtId="1"/>
  </dataFields>
  <chartFormats count="2"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D6C0FA-D1BB-415A-A60C-8B0A8F3E2B70}" name="Table2" displayName="Table2" ref="A1:L63" totalsRowShown="0" headerRowDxfId="3" dataDxfId="4">
  <autoFilter ref="A1:L63" xr:uid="{91D6C0FA-D1BB-415A-A60C-8B0A8F3E2B70}"/>
  <tableColumns count="12">
    <tableColumn id="1" xr3:uid="{333A0B93-E43E-47E2-8CF1-14ECC139477E}" name="Date" dataDxfId="12"/>
    <tableColumn id="2" xr3:uid="{F6659B3A-0A31-405E-87B4-864DAEA7EB54}" name="Trailer ID" dataDxfId="11"/>
    <tableColumn id="3" xr3:uid="{ED1CF34B-B7CB-4C6D-9723-919C6EFDA49E}" name="Driver"/>
    <tableColumn id="4" xr3:uid="{36F3CD7B-3B50-40CE-9385-A9C2041E4B5C}" name="Shift" dataDxfId="10"/>
    <tableColumn id="5" xr3:uid="{1B81BA0B-1C4C-4123-8A53-0BA77F61C28C}" name="Dock" dataDxfId="9"/>
    <tableColumn id="6" xr3:uid="{D6BEC09E-C1C5-4D36-9103-B2BE4F30D563}" name="Yard loaction" dataDxfId="2"/>
    <tableColumn id="7" xr3:uid="{B2523EB7-C29E-42B1-9B42-4A795056836C}" name="Status" dataDxfId="0"/>
    <tableColumn id="8" xr3:uid="{B2EBF77D-BD9E-443C-96F5-BA24C877CF70}" name="Move Request" dataDxfId="1"/>
    <tableColumn id="9" xr3:uid="{05DF4CB9-E65B-4D1F-B5A7-7B65C60BB973}" name="Move Completed" dataDxfId="8"/>
    <tableColumn id="10" xr3:uid="{F1BA2B0B-F54F-4F4B-947A-6ADE0D2FC836}" name="Duration (minutes)" dataDxfId="7">
      <calculatedColumnFormula>IF(I2="","", (I2-H2)*1440)</calculatedColumnFormula>
    </tableColumn>
    <tableColumn id="11" xr3:uid="{FF6F5AAB-745E-4797-B68C-69D973F87A81}" name="Priorty" dataDxfId="6"/>
    <tableColumn id="12" xr3:uid="{CB41F132-672F-4281-9F3E-2EB518514F4A}" name="Move Status" dataDxfId="5">
      <calculatedColumnFormula>IF(I2="","Pending","Completed")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482C-E11F-46CD-91A7-1E86E020BDDD}">
  <dimension ref="A1:J101"/>
  <sheetViews>
    <sheetView workbookViewId="0">
      <selection activeCell="T9" sqref="T9"/>
    </sheetView>
  </sheetViews>
  <sheetFormatPr defaultRowHeight="15"/>
  <cols>
    <col min="1" max="1" width="9.42578125" bestFit="1" customWidth="1"/>
    <col min="4" max="4" width="20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46192</v>
      </c>
      <c r="B2" t="s">
        <v>10</v>
      </c>
      <c r="C2" t="s">
        <v>280</v>
      </c>
      <c r="D2" t="s">
        <v>98</v>
      </c>
      <c r="E2">
        <f ca="1">RANDBETWEEN(1,5)</f>
        <v>5</v>
      </c>
      <c r="F2" t="s">
        <v>107</v>
      </c>
      <c r="G2" t="s">
        <v>115</v>
      </c>
      <c r="H2" t="s">
        <v>129</v>
      </c>
      <c r="I2" s="2">
        <v>8.611111111111111E-2</v>
      </c>
      <c r="J2" t="s">
        <v>196</v>
      </c>
    </row>
    <row r="3" spans="1:10">
      <c r="A3" s="1">
        <v>46174</v>
      </c>
      <c r="B3" t="s">
        <v>11</v>
      </c>
      <c r="C3" t="s">
        <v>274</v>
      </c>
      <c r="D3" t="s">
        <v>99</v>
      </c>
      <c r="E3">
        <f t="shared" ref="E3:E66" ca="1" si="0">RANDBETWEEN(1,5)</f>
        <v>1</v>
      </c>
      <c r="F3" t="s">
        <v>108</v>
      </c>
      <c r="G3" t="s">
        <v>115</v>
      </c>
      <c r="H3" t="s">
        <v>130</v>
      </c>
      <c r="I3" s="2">
        <v>0.60833333333333328</v>
      </c>
      <c r="J3" t="s">
        <v>20</v>
      </c>
    </row>
    <row r="4" spans="1:10">
      <c r="A4" s="1">
        <v>46177</v>
      </c>
      <c r="B4" t="s">
        <v>12</v>
      </c>
      <c r="C4" t="s">
        <v>280</v>
      </c>
      <c r="D4" t="s">
        <v>100</v>
      </c>
      <c r="E4">
        <f t="shared" ca="1" si="0"/>
        <v>4</v>
      </c>
      <c r="F4" t="s">
        <v>108</v>
      </c>
      <c r="G4" t="s">
        <v>116</v>
      </c>
      <c r="H4" t="s">
        <v>131</v>
      </c>
      <c r="I4" s="2" t="e">
        <v>#VALUE!</v>
      </c>
      <c r="J4" t="s">
        <v>194</v>
      </c>
    </row>
    <row r="5" spans="1:10">
      <c r="A5" s="1">
        <v>46186</v>
      </c>
      <c r="B5" t="s">
        <v>13</v>
      </c>
      <c r="C5" t="s">
        <v>277</v>
      </c>
      <c r="D5" t="s">
        <v>101</v>
      </c>
      <c r="E5">
        <f t="shared" ca="1" si="0"/>
        <v>2</v>
      </c>
      <c r="F5" t="s">
        <v>109</v>
      </c>
      <c r="G5" t="s">
        <v>117</v>
      </c>
      <c r="H5" t="s">
        <v>132</v>
      </c>
      <c r="I5" s="2">
        <v>0.85347222222222219</v>
      </c>
      <c r="J5" t="s">
        <v>200</v>
      </c>
    </row>
    <row r="6" spans="1:10">
      <c r="A6" s="1">
        <v>46204</v>
      </c>
      <c r="B6" t="s">
        <v>14</v>
      </c>
      <c r="C6" t="s">
        <v>273</v>
      </c>
      <c r="D6" t="s">
        <v>102</v>
      </c>
      <c r="E6">
        <f t="shared" ca="1" si="0"/>
        <v>1</v>
      </c>
      <c r="F6" t="s">
        <v>109</v>
      </c>
      <c r="G6" t="s">
        <v>118</v>
      </c>
      <c r="H6" t="s">
        <v>133</v>
      </c>
      <c r="I6" s="2" t="e">
        <v>#VALUE!</v>
      </c>
      <c r="J6" t="s">
        <v>192</v>
      </c>
    </row>
    <row r="7" spans="1:10">
      <c r="A7" s="1">
        <v>46181</v>
      </c>
      <c r="B7" t="s">
        <v>15</v>
      </c>
      <c r="C7" t="s">
        <v>272</v>
      </c>
      <c r="D7" t="s">
        <v>99</v>
      </c>
      <c r="E7">
        <f t="shared" ca="1" si="0"/>
        <v>4</v>
      </c>
      <c r="F7" t="s">
        <v>109</v>
      </c>
      <c r="G7" t="s">
        <v>118</v>
      </c>
      <c r="H7" t="s">
        <v>134</v>
      </c>
      <c r="I7" s="2">
        <v>0.15416666666666665</v>
      </c>
      <c r="J7" t="s">
        <v>200</v>
      </c>
    </row>
    <row r="8" spans="1:10">
      <c r="A8" s="1">
        <v>46201</v>
      </c>
      <c r="B8" t="s">
        <v>16</v>
      </c>
      <c r="C8" t="s">
        <v>280</v>
      </c>
      <c r="D8" t="s">
        <v>103</v>
      </c>
      <c r="E8">
        <f t="shared" ca="1" si="0"/>
        <v>3</v>
      </c>
      <c r="F8" t="s">
        <v>20</v>
      </c>
      <c r="G8" t="s">
        <v>119</v>
      </c>
      <c r="H8" t="s">
        <v>135</v>
      </c>
      <c r="I8" s="2">
        <v>0.20416666666666666</v>
      </c>
      <c r="J8" t="s">
        <v>191</v>
      </c>
    </row>
    <row r="9" spans="1:10">
      <c r="A9" s="1">
        <v>46187</v>
      </c>
      <c r="B9" t="s">
        <v>17</v>
      </c>
      <c r="C9" t="s">
        <v>275</v>
      </c>
      <c r="D9" t="s">
        <v>99</v>
      </c>
      <c r="E9">
        <f t="shared" ca="1" si="0"/>
        <v>3</v>
      </c>
      <c r="F9" t="s">
        <v>109</v>
      </c>
      <c r="G9" t="s">
        <v>120</v>
      </c>
      <c r="H9" t="s">
        <v>136</v>
      </c>
      <c r="I9" s="2">
        <v>0.4152777777777778</v>
      </c>
      <c r="J9" t="s">
        <v>198</v>
      </c>
    </row>
    <row r="10" spans="1:10">
      <c r="A10" s="1">
        <v>46180</v>
      </c>
      <c r="B10" t="s">
        <v>18</v>
      </c>
      <c r="C10" t="s">
        <v>20</v>
      </c>
      <c r="D10" t="s">
        <v>104</v>
      </c>
      <c r="E10">
        <f t="shared" ca="1" si="0"/>
        <v>5</v>
      </c>
      <c r="F10" t="s">
        <v>109</v>
      </c>
      <c r="G10" t="s">
        <v>121</v>
      </c>
      <c r="H10" t="s">
        <v>137</v>
      </c>
      <c r="I10" s="2">
        <v>0.51527777777777772</v>
      </c>
      <c r="J10" t="s">
        <v>194</v>
      </c>
    </row>
    <row r="11" spans="1:10">
      <c r="A11" s="1">
        <v>46182</v>
      </c>
      <c r="B11" t="s">
        <v>19</v>
      </c>
      <c r="C11" t="s">
        <v>274</v>
      </c>
      <c r="D11" t="s">
        <v>20</v>
      </c>
      <c r="E11">
        <f t="shared" ca="1" si="0"/>
        <v>4</v>
      </c>
      <c r="F11" t="s">
        <v>110</v>
      </c>
      <c r="G11" t="s">
        <v>122</v>
      </c>
      <c r="H11" t="s">
        <v>138</v>
      </c>
      <c r="I11" s="2">
        <v>0.70486111111111116</v>
      </c>
      <c r="J11" t="s">
        <v>20</v>
      </c>
    </row>
    <row r="12" spans="1:10">
      <c r="A12" s="1">
        <v>46182</v>
      </c>
      <c r="B12" t="s">
        <v>20</v>
      </c>
      <c r="C12" t="s">
        <v>275</v>
      </c>
      <c r="D12" t="s">
        <v>105</v>
      </c>
      <c r="E12">
        <f t="shared" ca="1" si="0"/>
        <v>1</v>
      </c>
      <c r="F12" t="s">
        <v>110</v>
      </c>
      <c r="G12" t="s">
        <v>115</v>
      </c>
      <c r="H12" t="s">
        <v>139</v>
      </c>
      <c r="I12" s="2">
        <v>0.41736111111111113</v>
      </c>
      <c r="J12" t="s">
        <v>194</v>
      </c>
    </row>
    <row r="13" spans="1:10">
      <c r="A13" s="1">
        <v>46198</v>
      </c>
      <c r="B13" t="s">
        <v>21</v>
      </c>
      <c r="C13" t="s">
        <v>278</v>
      </c>
      <c r="D13" t="s">
        <v>20</v>
      </c>
      <c r="E13">
        <f t="shared" ca="1" si="0"/>
        <v>4</v>
      </c>
      <c r="F13" t="s">
        <v>111</v>
      </c>
      <c r="G13" t="s">
        <v>117</v>
      </c>
      <c r="H13" t="s">
        <v>140</v>
      </c>
      <c r="I13" s="2">
        <v>0.83055555555555549</v>
      </c>
      <c r="J13" t="s">
        <v>192</v>
      </c>
    </row>
    <row r="14" spans="1:10">
      <c r="A14" s="1">
        <v>46200</v>
      </c>
      <c r="B14" t="s">
        <v>22</v>
      </c>
      <c r="C14" t="s">
        <v>275</v>
      </c>
      <c r="D14" t="s">
        <v>100</v>
      </c>
      <c r="E14">
        <f t="shared" ca="1" si="0"/>
        <v>4</v>
      </c>
      <c r="F14" t="s">
        <v>109</v>
      </c>
      <c r="G14" t="s">
        <v>123</v>
      </c>
      <c r="H14" t="s">
        <v>141</v>
      </c>
      <c r="I14" s="2">
        <v>0.36319444444444449</v>
      </c>
      <c r="J14" t="s">
        <v>195</v>
      </c>
    </row>
    <row r="15" spans="1:10">
      <c r="A15" s="1">
        <v>46204</v>
      </c>
      <c r="B15" t="s">
        <v>23</v>
      </c>
      <c r="C15" t="s">
        <v>277</v>
      </c>
      <c r="D15" t="s">
        <v>103</v>
      </c>
      <c r="E15">
        <f t="shared" ca="1" si="0"/>
        <v>1</v>
      </c>
      <c r="F15" t="s">
        <v>112</v>
      </c>
      <c r="G15" t="s">
        <v>121</v>
      </c>
      <c r="H15" t="s">
        <v>131</v>
      </c>
      <c r="I15" s="2" t="e">
        <v>#VALUE!</v>
      </c>
      <c r="J15" t="s">
        <v>199</v>
      </c>
    </row>
    <row r="16" spans="1:10">
      <c r="A16" s="1">
        <v>46180</v>
      </c>
      <c r="B16" t="s">
        <v>24</v>
      </c>
      <c r="C16" t="s">
        <v>277</v>
      </c>
      <c r="D16" t="s">
        <v>105</v>
      </c>
      <c r="E16">
        <f t="shared" ca="1" si="0"/>
        <v>4</v>
      </c>
      <c r="F16" t="s">
        <v>111</v>
      </c>
      <c r="G16" t="s">
        <v>124</v>
      </c>
      <c r="H16" t="s">
        <v>20</v>
      </c>
      <c r="I16" s="2" t="e">
        <v>#VALUE!</v>
      </c>
      <c r="J16" t="s">
        <v>198</v>
      </c>
    </row>
    <row r="17" spans="1:10">
      <c r="A17" s="1">
        <v>46193</v>
      </c>
      <c r="B17" t="s">
        <v>25</v>
      </c>
      <c r="C17" t="s">
        <v>274</v>
      </c>
      <c r="D17" t="s">
        <v>102</v>
      </c>
      <c r="E17">
        <f t="shared" ca="1" si="0"/>
        <v>5</v>
      </c>
      <c r="F17" t="s">
        <v>113</v>
      </c>
      <c r="G17" t="s">
        <v>125</v>
      </c>
      <c r="H17" t="s">
        <v>142</v>
      </c>
      <c r="I17" s="2">
        <v>0.60138888888888897</v>
      </c>
      <c r="J17" t="s">
        <v>20</v>
      </c>
    </row>
    <row r="18" spans="1:10">
      <c r="A18" s="1">
        <v>46191</v>
      </c>
      <c r="B18" t="s">
        <v>26</v>
      </c>
      <c r="C18" t="s">
        <v>275</v>
      </c>
      <c r="D18" t="s">
        <v>101</v>
      </c>
      <c r="E18">
        <f t="shared" ca="1" si="0"/>
        <v>4</v>
      </c>
      <c r="F18" t="s">
        <v>109</v>
      </c>
      <c r="G18" t="s">
        <v>126</v>
      </c>
      <c r="H18" t="s">
        <v>131</v>
      </c>
      <c r="I18" s="2" t="e">
        <v>#VALUE!</v>
      </c>
      <c r="J18" t="s">
        <v>195</v>
      </c>
    </row>
    <row r="19" spans="1:10">
      <c r="A19" s="1">
        <v>46178</v>
      </c>
      <c r="B19" t="s">
        <v>27</v>
      </c>
      <c r="C19" t="s">
        <v>280</v>
      </c>
      <c r="D19" t="s">
        <v>102</v>
      </c>
      <c r="E19">
        <f t="shared" ca="1" si="0"/>
        <v>1</v>
      </c>
      <c r="F19" t="s">
        <v>109</v>
      </c>
      <c r="G19" t="s">
        <v>118</v>
      </c>
      <c r="H19" t="s">
        <v>133</v>
      </c>
      <c r="I19" s="2" t="e">
        <v>#VALUE!</v>
      </c>
      <c r="J19" t="s">
        <v>201</v>
      </c>
    </row>
    <row r="20" spans="1:10">
      <c r="A20" s="1">
        <v>46187</v>
      </c>
      <c r="B20" t="s">
        <v>28</v>
      </c>
      <c r="C20" t="s">
        <v>20</v>
      </c>
      <c r="D20" t="s">
        <v>100</v>
      </c>
      <c r="E20">
        <f t="shared" ca="1" si="0"/>
        <v>5</v>
      </c>
      <c r="F20" t="s">
        <v>112</v>
      </c>
      <c r="G20" t="s">
        <v>125</v>
      </c>
      <c r="H20" t="s">
        <v>141</v>
      </c>
      <c r="I20" s="2">
        <v>0.35902777777777778</v>
      </c>
      <c r="J20" t="s">
        <v>193</v>
      </c>
    </row>
    <row r="21" spans="1:10">
      <c r="A21" s="1">
        <v>46202</v>
      </c>
      <c r="B21" t="s">
        <v>29</v>
      </c>
      <c r="C21" t="s">
        <v>275</v>
      </c>
      <c r="D21" t="s">
        <v>103</v>
      </c>
      <c r="E21">
        <f t="shared" ca="1" si="0"/>
        <v>3</v>
      </c>
      <c r="F21" t="s">
        <v>113</v>
      </c>
      <c r="G21" t="s">
        <v>115</v>
      </c>
      <c r="H21" t="s">
        <v>143</v>
      </c>
      <c r="I21" s="2">
        <v>0.55902777777777779</v>
      </c>
      <c r="J21" t="s">
        <v>199</v>
      </c>
    </row>
    <row r="22" spans="1:10">
      <c r="A22" s="1">
        <v>46179</v>
      </c>
      <c r="B22" t="s">
        <v>30</v>
      </c>
      <c r="C22" t="s">
        <v>278</v>
      </c>
      <c r="D22" t="s">
        <v>99</v>
      </c>
      <c r="E22">
        <f t="shared" ca="1" si="0"/>
        <v>2</v>
      </c>
      <c r="F22" t="s">
        <v>110</v>
      </c>
      <c r="G22" t="s">
        <v>115</v>
      </c>
      <c r="H22" t="s">
        <v>144</v>
      </c>
      <c r="I22" s="2">
        <v>0.93263888888888891</v>
      </c>
      <c r="J22" t="s">
        <v>199</v>
      </c>
    </row>
    <row r="23" spans="1:10">
      <c r="A23" s="1">
        <v>46197</v>
      </c>
      <c r="B23" t="s">
        <v>31</v>
      </c>
      <c r="C23" t="s">
        <v>275</v>
      </c>
      <c r="D23" t="s">
        <v>100</v>
      </c>
      <c r="E23">
        <f t="shared" ca="1" si="0"/>
        <v>2</v>
      </c>
      <c r="F23" t="s">
        <v>111</v>
      </c>
      <c r="G23" t="s">
        <v>20</v>
      </c>
      <c r="H23" t="s">
        <v>133</v>
      </c>
      <c r="I23" s="2" t="e">
        <v>#VALUE!</v>
      </c>
      <c r="J23" t="s">
        <v>192</v>
      </c>
    </row>
    <row r="24" spans="1:10">
      <c r="A24" s="1">
        <v>46191</v>
      </c>
      <c r="B24" t="s">
        <v>32</v>
      </c>
      <c r="C24" t="s">
        <v>280</v>
      </c>
      <c r="D24" t="s">
        <v>102</v>
      </c>
      <c r="E24">
        <f t="shared" ca="1" si="0"/>
        <v>1</v>
      </c>
      <c r="F24" t="s">
        <v>109</v>
      </c>
      <c r="G24" t="s">
        <v>119</v>
      </c>
      <c r="H24" t="s">
        <v>145</v>
      </c>
      <c r="I24" s="2">
        <v>0.61736111111111103</v>
      </c>
      <c r="J24" t="s">
        <v>192</v>
      </c>
    </row>
    <row r="25" spans="1:10">
      <c r="A25" s="1">
        <v>46179</v>
      </c>
      <c r="B25" t="s">
        <v>33</v>
      </c>
      <c r="C25" t="s">
        <v>270</v>
      </c>
      <c r="D25" t="s">
        <v>20</v>
      </c>
      <c r="E25">
        <f t="shared" ca="1" si="0"/>
        <v>3</v>
      </c>
      <c r="F25" t="s">
        <v>108</v>
      </c>
      <c r="G25" t="s">
        <v>119</v>
      </c>
      <c r="H25" t="s">
        <v>146</v>
      </c>
      <c r="I25" s="2">
        <v>0.44236111111111109</v>
      </c>
      <c r="J25" t="s">
        <v>194</v>
      </c>
    </row>
    <row r="26" spans="1:10">
      <c r="A26" s="1">
        <v>46189</v>
      </c>
      <c r="B26" t="s">
        <v>34</v>
      </c>
      <c r="C26" t="s">
        <v>272</v>
      </c>
      <c r="D26" t="s">
        <v>100</v>
      </c>
      <c r="E26">
        <f t="shared" ca="1" si="0"/>
        <v>2</v>
      </c>
      <c r="F26" t="s">
        <v>107</v>
      </c>
      <c r="G26" t="s">
        <v>126</v>
      </c>
      <c r="H26" t="s">
        <v>147</v>
      </c>
      <c r="I26" s="2">
        <v>5.0694444444444445E-2</v>
      </c>
      <c r="J26" t="s">
        <v>20</v>
      </c>
    </row>
    <row r="27" spans="1:10">
      <c r="A27" s="1">
        <v>46179</v>
      </c>
      <c r="B27" t="s">
        <v>20</v>
      </c>
      <c r="C27" t="s">
        <v>279</v>
      </c>
      <c r="D27" t="s">
        <v>101</v>
      </c>
      <c r="E27">
        <f t="shared" ca="1" si="0"/>
        <v>2</v>
      </c>
      <c r="F27" t="s">
        <v>111</v>
      </c>
      <c r="G27" t="s">
        <v>126</v>
      </c>
      <c r="H27" t="s">
        <v>148</v>
      </c>
      <c r="I27" s="2" t="e">
        <v>#VALUE!</v>
      </c>
      <c r="J27" t="s">
        <v>199</v>
      </c>
    </row>
    <row r="28" spans="1:10">
      <c r="A28" s="1">
        <v>46183</v>
      </c>
      <c r="B28" t="s">
        <v>35</v>
      </c>
      <c r="C28" t="s">
        <v>278</v>
      </c>
      <c r="D28" t="s">
        <v>100</v>
      </c>
      <c r="E28">
        <f t="shared" ca="1" si="0"/>
        <v>5</v>
      </c>
      <c r="F28" t="s">
        <v>20</v>
      </c>
      <c r="G28" t="s">
        <v>126</v>
      </c>
      <c r="H28" t="s">
        <v>149</v>
      </c>
      <c r="I28" s="2">
        <v>0.60763888888888884</v>
      </c>
      <c r="J28" t="s">
        <v>20</v>
      </c>
    </row>
    <row r="29" spans="1:10">
      <c r="A29" s="1">
        <v>46175</v>
      </c>
      <c r="B29" t="s">
        <v>36</v>
      </c>
      <c r="C29" t="s">
        <v>272</v>
      </c>
      <c r="D29" t="s">
        <v>106</v>
      </c>
      <c r="E29">
        <f t="shared" ca="1" si="0"/>
        <v>3</v>
      </c>
      <c r="F29" t="s">
        <v>113</v>
      </c>
      <c r="G29" t="s">
        <v>116</v>
      </c>
      <c r="H29" t="s">
        <v>150</v>
      </c>
      <c r="I29" s="2">
        <v>0.85138888888888886</v>
      </c>
      <c r="J29" t="s">
        <v>198</v>
      </c>
    </row>
    <row r="30" spans="1:10">
      <c r="A30" s="1">
        <v>46188</v>
      </c>
      <c r="B30" t="s">
        <v>20</v>
      </c>
      <c r="C30" t="s">
        <v>280</v>
      </c>
      <c r="D30" t="s">
        <v>99</v>
      </c>
      <c r="E30">
        <f t="shared" ca="1" si="0"/>
        <v>3</v>
      </c>
      <c r="F30" t="s">
        <v>109</v>
      </c>
      <c r="G30" t="s">
        <v>122</v>
      </c>
      <c r="H30" t="s">
        <v>133</v>
      </c>
      <c r="I30" s="2" t="e">
        <v>#VALUE!</v>
      </c>
      <c r="J30" t="s">
        <v>200</v>
      </c>
    </row>
    <row r="31" spans="1:10">
      <c r="A31" s="1">
        <v>46193</v>
      </c>
      <c r="B31" t="s">
        <v>37</v>
      </c>
      <c r="C31" t="s">
        <v>279</v>
      </c>
      <c r="D31" t="s">
        <v>104</v>
      </c>
      <c r="E31">
        <f t="shared" ca="1" si="0"/>
        <v>5</v>
      </c>
      <c r="F31" t="s">
        <v>20</v>
      </c>
      <c r="G31" t="s">
        <v>125</v>
      </c>
      <c r="H31" t="s">
        <v>151</v>
      </c>
      <c r="I31" s="2">
        <v>0.61527777777777781</v>
      </c>
      <c r="J31" t="s">
        <v>201</v>
      </c>
    </row>
    <row r="32" spans="1:10">
      <c r="A32" s="1">
        <v>46199</v>
      </c>
      <c r="B32" t="s">
        <v>38</v>
      </c>
      <c r="C32" t="s">
        <v>280</v>
      </c>
      <c r="D32" t="s">
        <v>102</v>
      </c>
      <c r="E32">
        <f t="shared" ca="1" si="0"/>
        <v>4</v>
      </c>
      <c r="F32" t="s">
        <v>107</v>
      </c>
      <c r="G32" t="s">
        <v>117</v>
      </c>
      <c r="H32" t="s">
        <v>131</v>
      </c>
      <c r="I32" s="2" t="e">
        <v>#VALUE!</v>
      </c>
      <c r="J32" t="s">
        <v>196</v>
      </c>
    </row>
    <row r="33" spans="1:10">
      <c r="A33" s="1">
        <v>46204</v>
      </c>
      <c r="B33" t="s">
        <v>39</v>
      </c>
      <c r="C33" t="s">
        <v>280</v>
      </c>
      <c r="D33" t="s">
        <v>99</v>
      </c>
      <c r="E33">
        <f t="shared" ca="1" si="0"/>
        <v>3</v>
      </c>
      <c r="F33" t="s">
        <v>109</v>
      </c>
      <c r="G33" t="s">
        <v>127</v>
      </c>
      <c r="H33" t="s">
        <v>152</v>
      </c>
      <c r="I33" s="2">
        <v>0.58819444444444446</v>
      </c>
      <c r="J33" t="s">
        <v>192</v>
      </c>
    </row>
    <row r="34" spans="1:10">
      <c r="A34" s="1">
        <v>46198</v>
      </c>
      <c r="B34" t="s">
        <v>40</v>
      </c>
      <c r="C34" t="s">
        <v>279</v>
      </c>
      <c r="D34" t="s">
        <v>106</v>
      </c>
      <c r="E34">
        <f t="shared" ca="1" si="0"/>
        <v>5</v>
      </c>
      <c r="F34" t="s">
        <v>113</v>
      </c>
      <c r="G34" t="s">
        <v>20</v>
      </c>
      <c r="H34" t="s">
        <v>153</v>
      </c>
      <c r="I34" s="2">
        <v>0.23125000000000001</v>
      </c>
      <c r="J34" t="s">
        <v>201</v>
      </c>
    </row>
    <row r="35" spans="1:10">
      <c r="A35" s="1">
        <v>46189</v>
      </c>
      <c r="B35" t="s">
        <v>41</v>
      </c>
      <c r="C35" t="s">
        <v>270</v>
      </c>
      <c r="D35" t="s">
        <v>99</v>
      </c>
      <c r="E35">
        <f t="shared" ca="1" si="0"/>
        <v>3</v>
      </c>
      <c r="F35" t="s">
        <v>114</v>
      </c>
      <c r="G35" t="s">
        <v>115</v>
      </c>
      <c r="H35" t="s">
        <v>154</v>
      </c>
      <c r="I35" s="2">
        <v>0.46111111111111114</v>
      </c>
      <c r="J35" t="s">
        <v>193</v>
      </c>
    </row>
    <row r="36" spans="1:10">
      <c r="A36" s="1">
        <v>46183</v>
      </c>
      <c r="B36" t="s">
        <v>42</v>
      </c>
      <c r="C36" t="s">
        <v>273</v>
      </c>
      <c r="D36" t="s">
        <v>101</v>
      </c>
      <c r="E36">
        <f t="shared" ca="1" si="0"/>
        <v>5</v>
      </c>
      <c r="F36" t="s">
        <v>112</v>
      </c>
      <c r="G36" t="s">
        <v>20</v>
      </c>
      <c r="H36" t="s">
        <v>155</v>
      </c>
      <c r="I36" s="2">
        <v>0.41041666666666671</v>
      </c>
      <c r="J36" t="s">
        <v>198</v>
      </c>
    </row>
    <row r="37" spans="1:10">
      <c r="A37" s="1">
        <v>46178</v>
      </c>
      <c r="B37" t="s">
        <v>43</v>
      </c>
      <c r="C37" t="s">
        <v>277</v>
      </c>
      <c r="D37" t="s">
        <v>106</v>
      </c>
      <c r="E37">
        <f t="shared" ca="1" si="0"/>
        <v>2</v>
      </c>
      <c r="F37" t="s">
        <v>111</v>
      </c>
      <c r="G37" t="s">
        <v>121</v>
      </c>
      <c r="H37" t="s">
        <v>156</v>
      </c>
      <c r="I37" s="2">
        <v>0.49652777777777773</v>
      </c>
      <c r="J37" t="s">
        <v>197</v>
      </c>
    </row>
    <row r="38" spans="1:10">
      <c r="A38" s="1">
        <v>46190</v>
      </c>
      <c r="B38" t="s">
        <v>20</v>
      </c>
      <c r="C38" t="s">
        <v>279</v>
      </c>
      <c r="D38" t="s">
        <v>102</v>
      </c>
      <c r="E38">
        <f t="shared" ca="1" si="0"/>
        <v>4</v>
      </c>
      <c r="F38" t="s">
        <v>113</v>
      </c>
      <c r="G38" t="s">
        <v>118</v>
      </c>
      <c r="H38" t="s">
        <v>133</v>
      </c>
      <c r="I38" s="2" t="e">
        <v>#VALUE!</v>
      </c>
      <c r="J38" t="s">
        <v>191</v>
      </c>
    </row>
    <row r="39" spans="1:10">
      <c r="A39" s="1">
        <v>46197</v>
      </c>
      <c r="B39" t="s">
        <v>44</v>
      </c>
      <c r="C39" t="s">
        <v>276</v>
      </c>
      <c r="D39" t="s">
        <v>106</v>
      </c>
      <c r="E39">
        <f t="shared" ca="1" si="0"/>
        <v>1</v>
      </c>
      <c r="F39" t="s">
        <v>109</v>
      </c>
      <c r="G39" t="s">
        <v>118</v>
      </c>
      <c r="H39" t="s">
        <v>157</v>
      </c>
      <c r="I39" s="2" t="e">
        <v>#VALUE!</v>
      </c>
      <c r="J39" t="s">
        <v>200</v>
      </c>
    </row>
    <row r="40" spans="1:10">
      <c r="A40" s="1">
        <v>46189</v>
      </c>
      <c r="B40" t="s">
        <v>45</v>
      </c>
      <c r="C40" t="s">
        <v>20</v>
      </c>
      <c r="D40" t="s">
        <v>106</v>
      </c>
      <c r="E40">
        <f t="shared" ca="1" si="0"/>
        <v>4</v>
      </c>
      <c r="F40" t="s">
        <v>110</v>
      </c>
      <c r="G40" t="s">
        <v>123</v>
      </c>
      <c r="H40" t="s">
        <v>158</v>
      </c>
      <c r="I40" s="2" t="e">
        <v>#VALUE!</v>
      </c>
      <c r="J40" t="s">
        <v>200</v>
      </c>
    </row>
    <row r="41" spans="1:10">
      <c r="A41" s="1">
        <v>46202</v>
      </c>
      <c r="B41" t="s">
        <v>46</v>
      </c>
      <c r="C41" t="s">
        <v>279</v>
      </c>
      <c r="D41" t="s">
        <v>101</v>
      </c>
      <c r="E41">
        <f t="shared" ca="1" si="0"/>
        <v>5</v>
      </c>
      <c r="F41" t="s">
        <v>113</v>
      </c>
      <c r="G41" t="s">
        <v>118</v>
      </c>
      <c r="H41" t="s">
        <v>141</v>
      </c>
      <c r="I41" s="2">
        <v>0.37430555555555556</v>
      </c>
      <c r="J41" t="s">
        <v>20</v>
      </c>
    </row>
    <row r="42" spans="1:10">
      <c r="A42" s="1">
        <v>46189</v>
      </c>
      <c r="B42" t="s">
        <v>20</v>
      </c>
      <c r="C42" t="s">
        <v>270</v>
      </c>
      <c r="D42" t="s">
        <v>20</v>
      </c>
      <c r="E42">
        <f t="shared" ca="1" si="0"/>
        <v>2</v>
      </c>
      <c r="F42" t="s">
        <v>113</v>
      </c>
      <c r="G42" t="s">
        <v>120</v>
      </c>
      <c r="H42" t="s">
        <v>159</v>
      </c>
      <c r="I42" s="2">
        <v>0.19999999999999998</v>
      </c>
      <c r="J42" t="s">
        <v>196</v>
      </c>
    </row>
    <row r="43" spans="1:10">
      <c r="A43" s="1">
        <v>46192</v>
      </c>
      <c r="B43" t="s">
        <v>20</v>
      </c>
      <c r="C43" t="s">
        <v>273</v>
      </c>
      <c r="D43" t="s">
        <v>103</v>
      </c>
      <c r="E43">
        <f t="shared" ca="1" si="0"/>
        <v>4</v>
      </c>
      <c r="F43" t="s">
        <v>113</v>
      </c>
      <c r="G43" t="s">
        <v>128</v>
      </c>
      <c r="H43" t="s">
        <v>160</v>
      </c>
      <c r="I43" s="2">
        <v>0.5756944444444444</v>
      </c>
      <c r="J43" t="s">
        <v>20</v>
      </c>
    </row>
    <row r="44" spans="1:10">
      <c r="A44" s="1">
        <v>46183</v>
      </c>
      <c r="B44" t="s">
        <v>20</v>
      </c>
      <c r="C44" t="s">
        <v>271</v>
      </c>
      <c r="D44" t="s">
        <v>101</v>
      </c>
      <c r="E44">
        <f t="shared" ca="1" si="0"/>
        <v>1</v>
      </c>
      <c r="F44" t="s">
        <v>112</v>
      </c>
      <c r="G44" t="s">
        <v>115</v>
      </c>
      <c r="H44" t="s">
        <v>141</v>
      </c>
      <c r="I44" s="2">
        <v>0.37013888888888891</v>
      </c>
      <c r="J44" t="s">
        <v>20</v>
      </c>
    </row>
    <row r="45" spans="1:10">
      <c r="A45" s="1">
        <v>46193</v>
      </c>
      <c r="B45" t="s">
        <v>47</v>
      </c>
      <c r="C45" t="s">
        <v>272</v>
      </c>
      <c r="D45" t="s">
        <v>104</v>
      </c>
      <c r="E45">
        <f t="shared" ca="1" si="0"/>
        <v>2</v>
      </c>
      <c r="F45" t="s">
        <v>109</v>
      </c>
      <c r="G45" t="s">
        <v>126</v>
      </c>
      <c r="H45" t="s">
        <v>161</v>
      </c>
      <c r="I45" s="2" t="e">
        <v>#VALUE!</v>
      </c>
      <c r="J45" t="s">
        <v>200</v>
      </c>
    </row>
    <row r="46" spans="1:10">
      <c r="A46" s="1">
        <v>46193</v>
      </c>
      <c r="B46" t="s">
        <v>48</v>
      </c>
      <c r="C46" t="s">
        <v>273</v>
      </c>
      <c r="D46" t="s">
        <v>98</v>
      </c>
      <c r="E46">
        <f t="shared" ca="1" si="0"/>
        <v>4</v>
      </c>
      <c r="F46" t="s">
        <v>108</v>
      </c>
      <c r="G46" t="s">
        <v>127</v>
      </c>
      <c r="H46" t="s">
        <v>162</v>
      </c>
      <c r="I46" s="2">
        <v>0.2159722222222222</v>
      </c>
      <c r="J46" t="s">
        <v>201</v>
      </c>
    </row>
    <row r="47" spans="1:10">
      <c r="A47" s="1">
        <v>46180</v>
      </c>
      <c r="B47" t="s">
        <v>49</v>
      </c>
      <c r="C47" t="s">
        <v>270</v>
      </c>
      <c r="D47" t="s">
        <v>103</v>
      </c>
      <c r="E47">
        <f t="shared" ca="1" si="0"/>
        <v>2</v>
      </c>
      <c r="F47" t="s">
        <v>110</v>
      </c>
      <c r="G47" t="s">
        <v>127</v>
      </c>
      <c r="H47" t="s">
        <v>163</v>
      </c>
      <c r="I47" s="2">
        <v>0.66041666666666665</v>
      </c>
      <c r="J47" t="s">
        <v>191</v>
      </c>
    </row>
    <row r="48" spans="1:10">
      <c r="A48" s="1">
        <v>46181</v>
      </c>
      <c r="B48" t="s">
        <v>20</v>
      </c>
      <c r="C48" t="s">
        <v>276</v>
      </c>
      <c r="D48" t="s">
        <v>98</v>
      </c>
      <c r="E48">
        <f t="shared" ca="1" si="0"/>
        <v>5</v>
      </c>
      <c r="F48" t="s">
        <v>109</v>
      </c>
      <c r="G48" t="s">
        <v>127</v>
      </c>
      <c r="H48" t="s">
        <v>164</v>
      </c>
      <c r="I48" s="2">
        <v>0.83888888888888891</v>
      </c>
      <c r="J48" t="s">
        <v>199</v>
      </c>
    </row>
    <row r="49" spans="1:10">
      <c r="A49" s="1">
        <v>46177</v>
      </c>
      <c r="B49" t="s">
        <v>50</v>
      </c>
      <c r="C49" t="s">
        <v>280</v>
      </c>
      <c r="D49" t="s">
        <v>20</v>
      </c>
      <c r="E49">
        <f t="shared" ca="1" si="0"/>
        <v>3</v>
      </c>
      <c r="F49" t="s">
        <v>20</v>
      </c>
      <c r="G49" t="s">
        <v>128</v>
      </c>
      <c r="H49" t="s">
        <v>131</v>
      </c>
      <c r="I49" s="2" t="e">
        <v>#VALUE!</v>
      </c>
      <c r="J49" t="s">
        <v>191</v>
      </c>
    </row>
    <row r="50" spans="1:10">
      <c r="A50" s="1">
        <v>46192</v>
      </c>
      <c r="B50" t="s">
        <v>51</v>
      </c>
      <c r="C50" t="s">
        <v>275</v>
      </c>
      <c r="D50" t="s">
        <v>101</v>
      </c>
      <c r="E50">
        <f t="shared" ca="1" si="0"/>
        <v>2</v>
      </c>
      <c r="F50" t="s">
        <v>112</v>
      </c>
      <c r="G50" t="s">
        <v>115</v>
      </c>
      <c r="H50" t="s">
        <v>165</v>
      </c>
      <c r="I50" s="2">
        <v>0.45208333333333334</v>
      </c>
      <c r="J50" t="s">
        <v>195</v>
      </c>
    </row>
    <row r="51" spans="1:10">
      <c r="A51" s="1">
        <v>46190</v>
      </c>
      <c r="B51" t="s">
        <v>52</v>
      </c>
      <c r="C51" t="s">
        <v>20</v>
      </c>
      <c r="D51" t="s">
        <v>100</v>
      </c>
      <c r="E51">
        <f t="shared" ca="1" si="0"/>
        <v>2</v>
      </c>
      <c r="F51" t="s">
        <v>113</v>
      </c>
      <c r="G51" t="s">
        <v>121</v>
      </c>
      <c r="H51" t="s">
        <v>166</v>
      </c>
      <c r="I51" s="2">
        <v>0.4826388888888889</v>
      </c>
      <c r="J51" t="s">
        <v>20</v>
      </c>
    </row>
    <row r="52" spans="1:10">
      <c r="A52" s="1">
        <v>46190</v>
      </c>
      <c r="B52" t="s">
        <v>53</v>
      </c>
      <c r="C52" t="s">
        <v>270</v>
      </c>
      <c r="D52" t="s">
        <v>99</v>
      </c>
      <c r="E52">
        <f t="shared" ca="1" si="0"/>
        <v>2</v>
      </c>
      <c r="F52" t="s">
        <v>108</v>
      </c>
      <c r="G52" t="s">
        <v>121</v>
      </c>
      <c r="H52" t="s">
        <v>167</v>
      </c>
      <c r="I52" s="2">
        <v>0.20555555555555555</v>
      </c>
      <c r="J52" t="s">
        <v>201</v>
      </c>
    </row>
    <row r="53" spans="1:10">
      <c r="A53" s="1">
        <v>46202</v>
      </c>
      <c r="B53" t="s">
        <v>54</v>
      </c>
      <c r="C53" t="s">
        <v>278</v>
      </c>
      <c r="D53" t="s">
        <v>101</v>
      </c>
      <c r="E53">
        <f t="shared" ca="1" si="0"/>
        <v>2</v>
      </c>
      <c r="F53" t="s">
        <v>20</v>
      </c>
      <c r="G53" t="s">
        <v>116</v>
      </c>
      <c r="H53" t="s">
        <v>168</v>
      </c>
      <c r="I53" s="2">
        <v>0.26319444444444445</v>
      </c>
      <c r="J53" t="s">
        <v>194</v>
      </c>
    </row>
    <row r="54" spans="1:10">
      <c r="A54" s="1">
        <v>46204</v>
      </c>
      <c r="B54" t="s">
        <v>55</v>
      </c>
      <c r="C54" t="s">
        <v>273</v>
      </c>
      <c r="D54" t="s">
        <v>105</v>
      </c>
      <c r="E54">
        <f t="shared" ca="1" si="0"/>
        <v>5</v>
      </c>
      <c r="F54" t="s">
        <v>107</v>
      </c>
      <c r="G54" t="s">
        <v>125</v>
      </c>
      <c r="H54" t="s">
        <v>169</v>
      </c>
      <c r="I54" s="2" t="e">
        <v>#VALUE!</v>
      </c>
      <c r="J54" t="s">
        <v>195</v>
      </c>
    </row>
    <row r="55" spans="1:10">
      <c r="A55" s="1">
        <v>46192</v>
      </c>
      <c r="B55" t="s">
        <v>56</v>
      </c>
      <c r="C55" t="s">
        <v>273</v>
      </c>
      <c r="D55" t="s">
        <v>106</v>
      </c>
      <c r="E55">
        <f t="shared" ca="1" si="0"/>
        <v>4</v>
      </c>
      <c r="F55" t="s">
        <v>110</v>
      </c>
      <c r="G55" t="s">
        <v>115</v>
      </c>
      <c r="H55" t="s">
        <v>170</v>
      </c>
      <c r="I55" s="2" t="e">
        <v>#VALUE!</v>
      </c>
      <c r="J55" t="s">
        <v>191</v>
      </c>
    </row>
    <row r="56" spans="1:10">
      <c r="A56" s="1">
        <v>46185</v>
      </c>
      <c r="B56" t="s">
        <v>57</v>
      </c>
      <c r="C56" t="s">
        <v>278</v>
      </c>
      <c r="D56" t="s">
        <v>99</v>
      </c>
      <c r="E56">
        <f t="shared" ca="1" si="0"/>
        <v>5</v>
      </c>
      <c r="F56" t="s">
        <v>108</v>
      </c>
      <c r="G56" t="s">
        <v>122</v>
      </c>
      <c r="H56" t="s">
        <v>133</v>
      </c>
      <c r="I56" s="2" t="e">
        <v>#VALUE!</v>
      </c>
      <c r="J56" t="s">
        <v>201</v>
      </c>
    </row>
    <row r="57" spans="1:10">
      <c r="A57" s="1">
        <v>46181</v>
      </c>
      <c r="B57" t="s">
        <v>20</v>
      </c>
      <c r="C57" t="s">
        <v>271</v>
      </c>
      <c r="D57" t="s">
        <v>102</v>
      </c>
      <c r="E57">
        <f t="shared" ca="1" si="0"/>
        <v>1</v>
      </c>
      <c r="F57" t="s">
        <v>108</v>
      </c>
      <c r="G57" t="s">
        <v>120</v>
      </c>
      <c r="H57" t="s">
        <v>131</v>
      </c>
      <c r="I57" s="2" t="e">
        <v>#VALUE!</v>
      </c>
      <c r="J57" t="s">
        <v>200</v>
      </c>
    </row>
    <row r="58" spans="1:10">
      <c r="A58" s="1">
        <v>46183</v>
      </c>
      <c r="B58" t="s">
        <v>20</v>
      </c>
      <c r="C58" t="s">
        <v>20</v>
      </c>
      <c r="D58" t="s">
        <v>102</v>
      </c>
      <c r="E58">
        <f t="shared" ca="1" si="0"/>
        <v>1</v>
      </c>
      <c r="F58" t="s">
        <v>109</v>
      </c>
      <c r="G58" t="s">
        <v>118</v>
      </c>
      <c r="H58" t="s">
        <v>141</v>
      </c>
      <c r="I58" s="2">
        <v>0.36180555555555555</v>
      </c>
      <c r="J58" t="s">
        <v>191</v>
      </c>
    </row>
    <row r="59" spans="1:10">
      <c r="A59" s="1">
        <v>46188</v>
      </c>
      <c r="B59" t="s">
        <v>58</v>
      </c>
      <c r="C59" t="s">
        <v>274</v>
      </c>
      <c r="D59" t="s">
        <v>106</v>
      </c>
      <c r="E59">
        <f t="shared" ca="1" si="0"/>
        <v>5</v>
      </c>
      <c r="F59" t="s">
        <v>111</v>
      </c>
      <c r="G59" t="s">
        <v>126</v>
      </c>
      <c r="H59" t="s">
        <v>171</v>
      </c>
      <c r="I59" s="2">
        <v>9.9999999999999992E-2</v>
      </c>
      <c r="J59" t="s">
        <v>20</v>
      </c>
    </row>
    <row r="60" spans="1:10">
      <c r="A60" s="1">
        <v>46174</v>
      </c>
      <c r="B60" t="s">
        <v>59</v>
      </c>
      <c r="C60" t="s">
        <v>20</v>
      </c>
      <c r="D60" t="s">
        <v>100</v>
      </c>
      <c r="E60">
        <f t="shared" ca="1" si="0"/>
        <v>3</v>
      </c>
      <c r="F60" t="s">
        <v>110</v>
      </c>
      <c r="G60" t="s">
        <v>125</v>
      </c>
      <c r="H60" t="s">
        <v>20</v>
      </c>
      <c r="I60" s="2" t="e">
        <v>#VALUE!</v>
      </c>
      <c r="J60" t="s">
        <v>20</v>
      </c>
    </row>
    <row r="61" spans="1:10">
      <c r="A61" s="1">
        <v>46174</v>
      </c>
      <c r="B61" t="s">
        <v>60</v>
      </c>
      <c r="C61" t="s">
        <v>272</v>
      </c>
      <c r="D61" t="s">
        <v>106</v>
      </c>
      <c r="E61">
        <f t="shared" ca="1" si="0"/>
        <v>1</v>
      </c>
      <c r="F61" t="s">
        <v>114</v>
      </c>
      <c r="G61" t="s">
        <v>128</v>
      </c>
      <c r="H61" t="s">
        <v>133</v>
      </c>
      <c r="I61" s="2" t="e">
        <v>#VALUE!</v>
      </c>
      <c r="J61" t="s">
        <v>194</v>
      </c>
    </row>
    <row r="62" spans="1:10">
      <c r="A62" s="1">
        <v>46194</v>
      </c>
      <c r="B62" t="s">
        <v>61</v>
      </c>
      <c r="C62" t="s">
        <v>271</v>
      </c>
      <c r="D62" t="s">
        <v>99</v>
      </c>
      <c r="E62">
        <f t="shared" ca="1" si="0"/>
        <v>2</v>
      </c>
      <c r="F62" t="s">
        <v>20</v>
      </c>
      <c r="G62" t="s">
        <v>124</v>
      </c>
      <c r="H62" t="s">
        <v>172</v>
      </c>
      <c r="I62" s="2">
        <v>0.94652777777777775</v>
      </c>
      <c r="J62" t="s">
        <v>197</v>
      </c>
    </row>
    <row r="63" spans="1:10">
      <c r="A63" s="1">
        <v>46174</v>
      </c>
      <c r="B63" t="s">
        <v>62</v>
      </c>
      <c r="C63" t="s">
        <v>271</v>
      </c>
      <c r="D63" t="s">
        <v>101</v>
      </c>
      <c r="E63">
        <f t="shared" ca="1" si="0"/>
        <v>2</v>
      </c>
      <c r="F63" t="s">
        <v>114</v>
      </c>
      <c r="G63" t="s">
        <v>128</v>
      </c>
      <c r="H63" t="s">
        <v>173</v>
      </c>
      <c r="I63" s="2">
        <v>0.98958333333333326</v>
      </c>
      <c r="J63" t="s">
        <v>192</v>
      </c>
    </row>
    <row r="64" spans="1:10">
      <c r="A64" s="1">
        <v>46195</v>
      </c>
      <c r="B64" t="s">
        <v>63</v>
      </c>
      <c r="C64" t="s">
        <v>271</v>
      </c>
      <c r="D64" t="s">
        <v>105</v>
      </c>
      <c r="E64">
        <f t="shared" ca="1" si="0"/>
        <v>1</v>
      </c>
      <c r="F64" t="s">
        <v>107</v>
      </c>
      <c r="G64" t="s">
        <v>119</v>
      </c>
      <c r="H64" t="s">
        <v>174</v>
      </c>
      <c r="I64" s="2">
        <v>0.74861111111111112</v>
      </c>
      <c r="J64" t="s">
        <v>194</v>
      </c>
    </row>
    <row r="65" spans="1:10">
      <c r="A65" s="1">
        <v>46185</v>
      </c>
      <c r="B65" t="s">
        <v>64</v>
      </c>
      <c r="C65" t="s">
        <v>274</v>
      </c>
      <c r="D65" t="s">
        <v>103</v>
      </c>
      <c r="E65">
        <f t="shared" ca="1" si="0"/>
        <v>4</v>
      </c>
      <c r="F65" t="s">
        <v>111</v>
      </c>
      <c r="G65" t="s">
        <v>119</v>
      </c>
      <c r="H65" t="s">
        <v>141</v>
      </c>
      <c r="I65" s="2">
        <v>0.37222222222222223</v>
      </c>
      <c r="J65" t="s">
        <v>196</v>
      </c>
    </row>
    <row r="66" spans="1:10">
      <c r="A66" s="1">
        <v>46196</v>
      </c>
      <c r="B66" t="s">
        <v>65</v>
      </c>
      <c r="C66" t="s">
        <v>276</v>
      </c>
      <c r="D66" t="s">
        <v>104</v>
      </c>
      <c r="E66">
        <f t="shared" ca="1" si="0"/>
        <v>1</v>
      </c>
      <c r="F66" t="s">
        <v>110</v>
      </c>
      <c r="G66" t="s">
        <v>120</v>
      </c>
      <c r="H66" t="s">
        <v>175</v>
      </c>
      <c r="I66" s="2">
        <v>0.45416666666666666</v>
      </c>
      <c r="J66" t="s">
        <v>193</v>
      </c>
    </row>
    <row r="67" spans="1:10">
      <c r="A67" s="1">
        <v>46186</v>
      </c>
      <c r="B67" t="s">
        <v>66</v>
      </c>
      <c r="C67" t="s">
        <v>277</v>
      </c>
      <c r="D67" t="s">
        <v>100</v>
      </c>
      <c r="E67">
        <f t="shared" ref="E67:E101" ca="1" si="1">RANDBETWEEN(1,5)</f>
        <v>5</v>
      </c>
      <c r="F67" t="s">
        <v>20</v>
      </c>
      <c r="G67" t="s">
        <v>122</v>
      </c>
      <c r="H67" t="s">
        <v>176</v>
      </c>
      <c r="I67" s="2">
        <v>0.67083333333333328</v>
      </c>
      <c r="J67" t="s">
        <v>198</v>
      </c>
    </row>
    <row r="68" spans="1:10">
      <c r="A68" s="1">
        <v>46196</v>
      </c>
      <c r="B68" t="s">
        <v>67</v>
      </c>
      <c r="C68" t="s">
        <v>20</v>
      </c>
      <c r="D68" t="s">
        <v>104</v>
      </c>
      <c r="E68">
        <f t="shared" ca="1" si="1"/>
        <v>1</v>
      </c>
      <c r="F68" t="s">
        <v>113</v>
      </c>
      <c r="G68" t="s">
        <v>116</v>
      </c>
      <c r="H68" t="s">
        <v>177</v>
      </c>
      <c r="I68" s="2">
        <v>0.27083333333333331</v>
      </c>
      <c r="J68" t="s">
        <v>196</v>
      </c>
    </row>
    <row r="69" spans="1:10">
      <c r="A69" s="1">
        <v>46189</v>
      </c>
      <c r="B69" t="s">
        <v>68</v>
      </c>
      <c r="C69" t="s">
        <v>278</v>
      </c>
      <c r="D69" t="s">
        <v>101</v>
      </c>
      <c r="E69">
        <f t="shared" ca="1" si="1"/>
        <v>5</v>
      </c>
      <c r="F69" t="s">
        <v>113</v>
      </c>
      <c r="G69" t="s">
        <v>122</v>
      </c>
      <c r="H69" t="s">
        <v>178</v>
      </c>
      <c r="I69" s="2">
        <v>0.82013888888888897</v>
      </c>
      <c r="J69" t="s">
        <v>199</v>
      </c>
    </row>
    <row r="70" spans="1:10">
      <c r="A70" s="1">
        <v>46180</v>
      </c>
      <c r="B70" t="s">
        <v>69</v>
      </c>
      <c r="C70" t="s">
        <v>276</v>
      </c>
      <c r="D70" t="s">
        <v>101</v>
      </c>
      <c r="E70">
        <f t="shared" ca="1" si="1"/>
        <v>3</v>
      </c>
      <c r="F70" t="s">
        <v>114</v>
      </c>
      <c r="G70" t="s">
        <v>121</v>
      </c>
      <c r="H70" t="s">
        <v>179</v>
      </c>
      <c r="I70" s="2" t="e">
        <v>#VALUE!</v>
      </c>
      <c r="J70" t="s">
        <v>200</v>
      </c>
    </row>
    <row r="71" spans="1:10">
      <c r="A71" s="1">
        <v>46194</v>
      </c>
      <c r="B71" t="s">
        <v>70</v>
      </c>
      <c r="C71" t="s">
        <v>274</v>
      </c>
      <c r="D71" t="s">
        <v>104</v>
      </c>
      <c r="E71">
        <f t="shared" ca="1" si="1"/>
        <v>5</v>
      </c>
      <c r="F71" t="s">
        <v>110</v>
      </c>
      <c r="G71" t="s">
        <v>126</v>
      </c>
      <c r="H71" t="s">
        <v>131</v>
      </c>
      <c r="I71" s="2" t="e">
        <v>#VALUE!</v>
      </c>
      <c r="J71" t="s">
        <v>198</v>
      </c>
    </row>
    <row r="72" spans="1:10">
      <c r="A72" s="1">
        <v>46176</v>
      </c>
      <c r="B72" t="s">
        <v>71</v>
      </c>
      <c r="C72" t="s">
        <v>271</v>
      </c>
      <c r="D72" t="s">
        <v>104</v>
      </c>
      <c r="E72">
        <f t="shared" ca="1" si="1"/>
        <v>1</v>
      </c>
      <c r="F72" t="s">
        <v>112</v>
      </c>
      <c r="G72" t="s">
        <v>20</v>
      </c>
      <c r="H72" t="s">
        <v>180</v>
      </c>
      <c r="I72" s="2">
        <v>0.75555555555555554</v>
      </c>
      <c r="J72" t="s">
        <v>191</v>
      </c>
    </row>
    <row r="73" spans="1:10">
      <c r="A73" s="1">
        <v>46184</v>
      </c>
      <c r="B73" t="s">
        <v>72</v>
      </c>
      <c r="C73" t="s">
        <v>272</v>
      </c>
      <c r="D73" t="s">
        <v>105</v>
      </c>
      <c r="E73">
        <f t="shared" ca="1" si="1"/>
        <v>2</v>
      </c>
      <c r="F73" t="s">
        <v>108</v>
      </c>
      <c r="G73" t="s">
        <v>124</v>
      </c>
      <c r="H73" t="s">
        <v>131</v>
      </c>
      <c r="I73" s="2" t="e">
        <v>#VALUE!</v>
      </c>
      <c r="J73" t="s">
        <v>195</v>
      </c>
    </row>
    <row r="74" spans="1:10">
      <c r="A74" s="1">
        <v>46184</v>
      </c>
      <c r="B74" t="s">
        <v>20</v>
      </c>
      <c r="C74" t="s">
        <v>271</v>
      </c>
      <c r="D74" t="s">
        <v>104</v>
      </c>
      <c r="E74">
        <f t="shared" ca="1" si="1"/>
        <v>3</v>
      </c>
      <c r="F74" t="s">
        <v>111</v>
      </c>
      <c r="G74" t="s">
        <v>119</v>
      </c>
      <c r="H74" t="s">
        <v>141</v>
      </c>
      <c r="I74" s="2">
        <v>0.3576388888888889</v>
      </c>
      <c r="J74" t="s">
        <v>200</v>
      </c>
    </row>
    <row r="75" spans="1:10">
      <c r="A75" s="1">
        <v>46195</v>
      </c>
      <c r="B75" t="s">
        <v>73</v>
      </c>
      <c r="C75" t="s">
        <v>278</v>
      </c>
      <c r="D75" t="s">
        <v>103</v>
      </c>
      <c r="E75">
        <f t="shared" ca="1" si="1"/>
        <v>1</v>
      </c>
      <c r="F75" t="s">
        <v>113</v>
      </c>
      <c r="G75" t="s">
        <v>124</v>
      </c>
      <c r="H75" t="s">
        <v>181</v>
      </c>
      <c r="I75" s="2">
        <v>0.48541666666666666</v>
      </c>
      <c r="J75" t="s">
        <v>195</v>
      </c>
    </row>
    <row r="76" spans="1:10">
      <c r="A76" s="1">
        <v>46200</v>
      </c>
      <c r="B76" t="s">
        <v>74</v>
      </c>
      <c r="C76" t="s">
        <v>271</v>
      </c>
      <c r="D76" t="s">
        <v>99</v>
      </c>
      <c r="E76">
        <f t="shared" ca="1" si="1"/>
        <v>3</v>
      </c>
      <c r="F76" t="s">
        <v>20</v>
      </c>
      <c r="G76" t="s">
        <v>125</v>
      </c>
      <c r="H76" t="s">
        <v>182</v>
      </c>
      <c r="I76" s="2">
        <v>0.71597222222222223</v>
      </c>
      <c r="J76" t="s">
        <v>201</v>
      </c>
    </row>
    <row r="77" spans="1:10">
      <c r="A77" s="1">
        <v>46196</v>
      </c>
      <c r="B77" t="s">
        <v>75</v>
      </c>
      <c r="C77" t="s">
        <v>271</v>
      </c>
      <c r="D77" t="s">
        <v>106</v>
      </c>
      <c r="E77">
        <f t="shared" ca="1" si="1"/>
        <v>5</v>
      </c>
      <c r="F77" t="s">
        <v>113</v>
      </c>
      <c r="G77" t="s">
        <v>20</v>
      </c>
      <c r="H77" t="s">
        <v>183</v>
      </c>
      <c r="I77" s="2" t="e">
        <v>#VALUE!</v>
      </c>
      <c r="J77" t="s">
        <v>199</v>
      </c>
    </row>
    <row r="78" spans="1:10">
      <c r="A78" s="1">
        <v>46189</v>
      </c>
      <c r="B78" t="s">
        <v>76</v>
      </c>
      <c r="C78" t="s">
        <v>275</v>
      </c>
      <c r="D78" t="s">
        <v>98</v>
      </c>
      <c r="E78">
        <f t="shared" ca="1" si="1"/>
        <v>1</v>
      </c>
      <c r="F78" t="s">
        <v>112</v>
      </c>
      <c r="G78" t="s">
        <v>123</v>
      </c>
      <c r="H78" t="s">
        <v>141</v>
      </c>
      <c r="I78" s="2">
        <v>0.37013888888888891</v>
      </c>
      <c r="J78" t="s">
        <v>195</v>
      </c>
    </row>
    <row r="79" spans="1:10">
      <c r="A79" s="1">
        <v>46176</v>
      </c>
      <c r="B79" t="s">
        <v>77</v>
      </c>
      <c r="C79" t="s">
        <v>276</v>
      </c>
      <c r="D79" t="s">
        <v>106</v>
      </c>
      <c r="E79">
        <f t="shared" ca="1" si="1"/>
        <v>5</v>
      </c>
      <c r="F79" t="s">
        <v>107</v>
      </c>
      <c r="G79" t="s">
        <v>117</v>
      </c>
      <c r="H79" t="s">
        <v>133</v>
      </c>
      <c r="I79" s="2" t="e">
        <v>#VALUE!</v>
      </c>
      <c r="J79" t="s">
        <v>191</v>
      </c>
    </row>
    <row r="80" spans="1:10">
      <c r="A80" s="1">
        <v>46191</v>
      </c>
      <c r="B80" t="s">
        <v>78</v>
      </c>
      <c r="C80" t="s">
        <v>271</v>
      </c>
      <c r="D80" t="s">
        <v>100</v>
      </c>
      <c r="E80">
        <f t="shared" ca="1" si="1"/>
        <v>2</v>
      </c>
      <c r="F80" t="s">
        <v>107</v>
      </c>
      <c r="G80" t="s">
        <v>125</v>
      </c>
      <c r="H80" t="s">
        <v>184</v>
      </c>
      <c r="I80" s="2">
        <v>0.85625000000000007</v>
      </c>
      <c r="J80" t="s">
        <v>193</v>
      </c>
    </row>
    <row r="81" spans="1:10">
      <c r="A81" s="1">
        <v>46180</v>
      </c>
      <c r="B81" t="s">
        <v>20</v>
      </c>
      <c r="C81" t="s">
        <v>273</v>
      </c>
      <c r="D81" t="s">
        <v>102</v>
      </c>
      <c r="E81">
        <f t="shared" ca="1" si="1"/>
        <v>4</v>
      </c>
      <c r="F81" t="s">
        <v>109</v>
      </c>
      <c r="G81" t="s">
        <v>118</v>
      </c>
      <c r="H81" t="s">
        <v>131</v>
      </c>
      <c r="I81" s="2" t="e">
        <v>#VALUE!</v>
      </c>
      <c r="J81" t="s">
        <v>195</v>
      </c>
    </row>
    <row r="82" spans="1:10">
      <c r="A82" s="1">
        <v>46174</v>
      </c>
      <c r="B82" t="s">
        <v>79</v>
      </c>
      <c r="C82" t="s">
        <v>275</v>
      </c>
      <c r="D82" t="s">
        <v>102</v>
      </c>
      <c r="E82">
        <f t="shared" ca="1" si="1"/>
        <v>5</v>
      </c>
      <c r="F82" t="s">
        <v>113</v>
      </c>
      <c r="G82" t="s">
        <v>128</v>
      </c>
      <c r="H82" t="s">
        <v>20</v>
      </c>
      <c r="I82" s="2" t="e">
        <v>#VALUE!</v>
      </c>
      <c r="J82" t="s">
        <v>194</v>
      </c>
    </row>
    <row r="83" spans="1:10">
      <c r="A83" s="1">
        <v>46178</v>
      </c>
      <c r="B83" t="s">
        <v>80</v>
      </c>
      <c r="C83" t="s">
        <v>271</v>
      </c>
      <c r="D83" t="s">
        <v>106</v>
      </c>
      <c r="E83">
        <f t="shared" ca="1" si="1"/>
        <v>5</v>
      </c>
      <c r="F83" t="s">
        <v>113</v>
      </c>
      <c r="G83" t="s">
        <v>119</v>
      </c>
      <c r="H83" t="s">
        <v>141</v>
      </c>
      <c r="I83" s="2">
        <v>0.37291666666666667</v>
      </c>
      <c r="J83" t="s">
        <v>191</v>
      </c>
    </row>
    <row r="84" spans="1:10">
      <c r="A84" s="1">
        <v>46191</v>
      </c>
      <c r="B84" t="s">
        <v>81</v>
      </c>
      <c r="C84" t="s">
        <v>276</v>
      </c>
      <c r="D84" t="s">
        <v>102</v>
      </c>
      <c r="E84">
        <f t="shared" ca="1" si="1"/>
        <v>4</v>
      </c>
      <c r="F84" t="s">
        <v>108</v>
      </c>
      <c r="G84" t="s">
        <v>122</v>
      </c>
      <c r="H84" t="s">
        <v>20</v>
      </c>
      <c r="I84" s="2" t="e">
        <v>#VALUE!</v>
      </c>
      <c r="J84" t="s">
        <v>194</v>
      </c>
    </row>
    <row r="85" spans="1:10">
      <c r="A85" s="1">
        <v>46189</v>
      </c>
      <c r="B85" t="s">
        <v>82</v>
      </c>
      <c r="C85" t="s">
        <v>275</v>
      </c>
      <c r="D85" t="s">
        <v>20</v>
      </c>
      <c r="E85">
        <f t="shared" ca="1" si="1"/>
        <v>3</v>
      </c>
      <c r="F85" t="s">
        <v>111</v>
      </c>
      <c r="G85" t="s">
        <v>126</v>
      </c>
      <c r="H85" t="s">
        <v>185</v>
      </c>
      <c r="I85" s="2">
        <v>0.73888888888888882</v>
      </c>
      <c r="J85" t="s">
        <v>20</v>
      </c>
    </row>
    <row r="86" spans="1:10">
      <c r="A86" s="1">
        <v>46177</v>
      </c>
      <c r="B86" t="s">
        <v>83</v>
      </c>
      <c r="C86" t="s">
        <v>280</v>
      </c>
      <c r="D86" t="s">
        <v>100</v>
      </c>
      <c r="E86">
        <f t="shared" ca="1" si="1"/>
        <v>2</v>
      </c>
      <c r="F86" t="s">
        <v>109</v>
      </c>
      <c r="G86" t="s">
        <v>124</v>
      </c>
      <c r="H86" t="s">
        <v>186</v>
      </c>
      <c r="I86" s="2">
        <v>0.12361111111111112</v>
      </c>
      <c r="J86" t="s">
        <v>194</v>
      </c>
    </row>
    <row r="87" spans="1:10">
      <c r="A87" s="1">
        <v>46182</v>
      </c>
      <c r="B87" t="s">
        <v>84</v>
      </c>
      <c r="C87" t="s">
        <v>270</v>
      </c>
      <c r="D87" t="s">
        <v>104</v>
      </c>
      <c r="E87">
        <f t="shared" ca="1" si="1"/>
        <v>2</v>
      </c>
      <c r="F87" t="s">
        <v>107</v>
      </c>
      <c r="G87" t="s">
        <v>119</v>
      </c>
      <c r="H87" t="s">
        <v>187</v>
      </c>
      <c r="I87" s="2" t="e">
        <v>#VALUE!</v>
      </c>
      <c r="J87" t="s">
        <v>199</v>
      </c>
    </row>
    <row r="88" spans="1:10">
      <c r="A88" s="1">
        <v>46178</v>
      </c>
      <c r="B88" t="s">
        <v>85</v>
      </c>
      <c r="C88" t="s">
        <v>270</v>
      </c>
      <c r="D88" t="s">
        <v>98</v>
      </c>
      <c r="E88">
        <f t="shared" ca="1" si="1"/>
        <v>4</v>
      </c>
      <c r="F88" t="s">
        <v>111</v>
      </c>
      <c r="G88" t="s">
        <v>122</v>
      </c>
      <c r="H88" t="s">
        <v>131</v>
      </c>
      <c r="I88" s="2" t="e">
        <v>#VALUE!</v>
      </c>
      <c r="J88" t="s">
        <v>191</v>
      </c>
    </row>
    <row r="89" spans="1:10">
      <c r="A89" s="1">
        <v>46179</v>
      </c>
      <c r="B89" t="s">
        <v>86</v>
      </c>
      <c r="C89" t="s">
        <v>277</v>
      </c>
      <c r="D89" t="s">
        <v>103</v>
      </c>
      <c r="E89">
        <f t="shared" ca="1" si="1"/>
        <v>5</v>
      </c>
      <c r="F89" t="s">
        <v>111</v>
      </c>
      <c r="G89" t="s">
        <v>127</v>
      </c>
      <c r="H89" t="s">
        <v>188</v>
      </c>
      <c r="I89" s="2">
        <v>0.83125000000000004</v>
      </c>
      <c r="J89" t="s">
        <v>201</v>
      </c>
    </row>
    <row r="90" spans="1:10">
      <c r="A90" s="1">
        <v>46185</v>
      </c>
      <c r="B90" t="s">
        <v>87</v>
      </c>
      <c r="C90" t="s">
        <v>272</v>
      </c>
      <c r="D90" t="s">
        <v>99</v>
      </c>
      <c r="E90">
        <f t="shared" ca="1" si="1"/>
        <v>2</v>
      </c>
      <c r="F90" t="s">
        <v>109</v>
      </c>
      <c r="G90" t="s">
        <v>119</v>
      </c>
      <c r="H90" t="s">
        <v>141</v>
      </c>
      <c r="I90" s="2">
        <v>0.36875000000000002</v>
      </c>
      <c r="J90" t="s">
        <v>193</v>
      </c>
    </row>
    <row r="91" spans="1:10">
      <c r="A91" s="1">
        <v>46193</v>
      </c>
      <c r="B91" t="s">
        <v>88</v>
      </c>
      <c r="C91" t="s">
        <v>275</v>
      </c>
      <c r="D91" t="s">
        <v>98</v>
      </c>
      <c r="E91">
        <f t="shared" ca="1" si="1"/>
        <v>3</v>
      </c>
      <c r="F91" t="s">
        <v>110</v>
      </c>
      <c r="G91" t="s">
        <v>116</v>
      </c>
      <c r="H91" t="s">
        <v>131</v>
      </c>
      <c r="I91" s="2" t="e">
        <v>#VALUE!</v>
      </c>
      <c r="J91" t="s">
        <v>200</v>
      </c>
    </row>
    <row r="92" spans="1:10">
      <c r="A92" s="1">
        <v>46197</v>
      </c>
      <c r="B92" t="s">
        <v>89</v>
      </c>
      <c r="C92" t="s">
        <v>278</v>
      </c>
      <c r="D92" t="s">
        <v>98</v>
      </c>
      <c r="E92">
        <f t="shared" ca="1" si="1"/>
        <v>4</v>
      </c>
      <c r="F92" t="s">
        <v>107</v>
      </c>
      <c r="G92" t="s">
        <v>119</v>
      </c>
      <c r="H92" t="s">
        <v>20</v>
      </c>
      <c r="I92" s="2" t="e">
        <v>#VALUE!</v>
      </c>
      <c r="J92" t="s">
        <v>194</v>
      </c>
    </row>
    <row r="93" spans="1:10">
      <c r="A93" s="1">
        <v>46194</v>
      </c>
      <c r="B93" t="s">
        <v>90</v>
      </c>
      <c r="C93" t="s">
        <v>278</v>
      </c>
      <c r="D93" t="s">
        <v>98</v>
      </c>
      <c r="E93">
        <f t="shared" ca="1" si="1"/>
        <v>4</v>
      </c>
      <c r="F93" t="s">
        <v>114</v>
      </c>
      <c r="G93" t="s">
        <v>127</v>
      </c>
      <c r="H93" t="s">
        <v>189</v>
      </c>
      <c r="I93" s="2">
        <v>0.40972222222222221</v>
      </c>
      <c r="J93" t="s">
        <v>197</v>
      </c>
    </row>
    <row r="94" spans="1:10">
      <c r="A94" s="1">
        <v>46194</v>
      </c>
      <c r="B94" t="s">
        <v>20</v>
      </c>
      <c r="C94" t="s">
        <v>272</v>
      </c>
      <c r="D94" t="s">
        <v>101</v>
      </c>
      <c r="E94">
        <f t="shared" ca="1" si="1"/>
        <v>1</v>
      </c>
      <c r="F94" t="s">
        <v>110</v>
      </c>
      <c r="G94" t="s">
        <v>115</v>
      </c>
      <c r="H94" t="s">
        <v>131</v>
      </c>
      <c r="I94" s="2" t="e">
        <v>#VALUE!</v>
      </c>
      <c r="J94" t="s">
        <v>193</v>
      </c>
    </row>
    <row r="95" spans="1:10">
      <c r="A95" s="1">
        <v>46176</v>
      </c>
      <c r="B95" t="s">
        <v>91</v>
      </c>
      <c r="C95" t="s">
        <v>274</v>
      </c>
      <c r="D95" t="s">
        <v>100</v>
      </c>
      <c r="E95">
        <f t="shared" ca="1" si="1"/>
        <v>1</v>
      </c>
      <c r="F95" t="s">
        <v>20</v>
      </c>
      <c r="G95" t="s">
        <v>123</v>
      </c>
      <c r="H95" t="s">
        <v>20</v>
      </c>
      <c r="I95" s="2" t="e">
        <v>#VALUE!</v>
      </c>
      <c r="J95" t="s">
        <v>193</v>
      </c>
    </row>
    <row r="96" spans="1:10">
      <c r="A96" s="1">
        <v>46182</v>
      </c>
      <c r="B96" t="s">
        <v>92</v>
      </c>
      <c r="C96" t="s">
        <v>275</v>
      </c>
      <c r="D96" t="s">
        <v>100</v>
      </c>
      <c r="E96">
        <f t="shared" ca="1" si="1"/>
        <v>3</v>
      </c>
      <c r="F96" t="s">
        <v>111</v>
      </c>
      <c r="G96" t="s">
        <v>117</v>
      </c>
      <c r="H96" t="s">
        <v>133</v>
      </c>
      <c r="I96" s="2" t="e">
        <v>#VALUE!</v>
      </c>
      <c r="J96" t="s">
        <v>193</v>
      </c>
    </row>
    <row r="97" spans="1:10">
      <c r="A97" s="1">
        <v>46191</v>
      </c>
      <c r="B97" t="s">
        <v>93</v>
      </c>
      <c r="C97" t="s">
        <v>275</v>
      </c>
      <c r="D97" t="s">
        <v>20</v>
      </c>
      <c r="E97">
        <f t="shared" ca="1" si="1"/>
        <v>5</v>
      </c>
      <c r="F97" t="s">
        <v>111</v>
      </c>
      <c r="G97" t="s">
        <v>127</v>
      </c>
      <c r="H97" t="s">
        <v>131</v>
      </c>
      <c r="I97" s="2" t="e">
        <v>#VALUE!</v>
      </c>
      <c r="J97" t="s">
        <v>193</v>
      </c>
    </row>
    <row r="98" spans="1:10">
      <c r="A98" s="1">
        <v>46202</v>
      </c>
      <c r="B98" t="s">
        <v>94</v>
      </c>
      <c r="C98" t="s">
        <v>274</v>
      </c>
      <c r="D98" t="s">
        <v>99</v>
      </c>
      <c r="E98">
        <f t="shared" ca="1" si="1"/>
        <v>1</v>
      </c>
      <c r="F98" t="s">
        <v>113</v>
      </c>
      <c r="G98" t="s">
        <v>118</v>
      </c>
      <c r="H98" t="s">
        <v>131</v>
      </c>
      <c r="I98" s="2" t="e">
        <v>#VALUE!</v>
      </c>
      <c r="J98" t="s">
        <v>197</v>
      </c>
    </row>
    <row r="99" spans="1:10">
      <c r="A99" s="1">
        <v>46183</v>
      </c>
      <c r="B99" t="s">
        <v>95</v>
      </c>
      <c r="C99" t="s">
        <v>277</v>
      </c>
      <c r="D99" t="s">
        <v>105</v>
      </c>
      <c r="E99">
        <f t="shared" ca="1" si="1"/>
        <v>3</v>
      </c>
      <c r="F99" t="s">
        <v>114</v>
      </c>
      <c r="G99" t="s">
        <v>122</v>
      </c>
      <c r="H99" t="s">
        <v>141</v>
      </c>
      <c r="I99" s="2">
        <v>0.37083333333333335</v>
      </c>
      <c r="J99" t="s">
        <v>196</v>
      </c>
    </row>
    <row r="100" spans="1:10">
      <c r="A100" s="1">
        <v>46185</v>
      </c>
      <c r="B100" t="s">
        <v>96</v>
      </c>
      <c r="C100" t="s">
        <v>275</v>
      </c>
      <c r="D100" t="s">
        <v>106</v>
      </c>
      <c r="E100">
        <f t="shared" ca="1" si="1"/>
        <v>5</v>
      </c>
      <c r="F100" t="s">
        <v>113</v>
      </c>
      <c r="G100" t="s">
        <v>122</v>
      </c>
      <c r="H100" t="s">
        <v>141</v>
      </c>
      <c r="I100" s="2">
        <v>0.37430555555555556</v>
      </c>
      <c r="J100" t="s">
        <v>193</v>
      </c>
    </row>
    <row r="101" spans="1:10">
      <c r="A101" s="1">
        <v>46192</v>
      </c>
      <c r="B101" t="s">
        <v>97</v>
      </c>
      <c r="C101" t="s">
        <v>272</v>
      </c>
      <c r="D101" t="s">
        <v>98</v>
      </c>
      <c r="E101">
        <f t="shared" ca="1" si="1"/>
        <v>5</v>
      </c>
      <c r="F101" t="s">
        <v>107</v>
      </c>
      <c r="G101" t="s">
        <v>120</v>
      </c>
      <c r="H101" t="s">
        <v>190</v>
      </c>
      <c r="I101" s="2" t="e">
        <v>#VALUE!</v>
      </c>
      <c r="J101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7022-98DC-4C30-A471-7831A49C5E7E}">
  <dimension ref="A1:A120"/>
  <sheetViews>
    <sheetView topLeftCell="A34" workbookViewId="0">
      <selection activeCell="A110" sqref="A110:A120"/>
    </sheetView>
  </sheetViews>
  <sheetFormatPr defaultRowHeight="15"/>
  <cols>
    <col min="1" max="16384" width="9.140625" style="6"/>
  </cols>
  <sheetData>
    <row r="1" spans="1:1" ht="31.5">
      <c r="A1" s="3" t="s">
        <v>202</v>
      </c>
    </row>
    <row r="3" spans="1:1" ht="18">
      <c r="A3" s="4" t="s">
        <v>203</v>
      </c>
    </row>
    <row r="5" spans="1:1">
      <c r="A5" s="6" t="s">
        <v>204</v>
      </c>
    </row>
    <row r="8" spans="1:1" ht="24">
      <c r="A8" s="5" t="s">
        <v>205</v>
      </c>
    </row>
    <row r="9" spans="1:1">
      <c r="A9" s="7"/>
    </row>
    <row r="10" spans="1:1">
      <c r="A10" s="7" t="s">
        <v>206</v>
      </c>
    </row>
    <row r="11" spans="1:1">
      <c r="A11" s="7" t="s">
        <v>207</v>
      </c>
    </row>
    <row r="12" spans="1:1">
      <c r="A12" s="7" t="s">
        <v>208</v>
      </c>
    </row>
    <row r="13" spans="1:1">
      <c r="A13" s="7" t="s">
        <v>209</v>
      </c>
    </row>
    <row r="14" spans="1:1">
      <c r="A14" s="7" t="s">
        <v>210</v>
      </c>
    </row>
    <row r="15" spans="1:1">
      <c r="A15" s="7" t="s">
        <v>211</v>
      </c>
    </row>
    <row r="18" spans="1:1" ht="24">
      <c r="A18" s="5" t="s">
        <v>212</v>
      </c>
    </row>
    <row r="20" spans="1:1">
      <c r="A20" s="6" t="s">
        <v>213</v>
      </c>
    </row>
    <row r="22" spans="1:1">
      <c r="A22" s="6" t="s">
        <v>214</v>
      </c>
    </row>
    <row r="23" spans="1:1">
      <c r="A23" s="7"/>
    </row>
    <row r="24" spans="1:1">
      <c r="A24" s="7" t="s">
        <v>0</v>
      </c>
    </row>
    <row r="25" spans="1:1">
      <c r="A25" s="7" t="s">
        <v>1</v>
      </c>
    </row>
    <row r="26" spans="1:1">
      <c r="A26" s="7" t="s">
        <v>2</v>
      </c>
    </row>
    <row r="27" spans="1:1">
      <c r="A27" s="7" t="s">
        <v>3</v>
      </c>
    </row>
    <row r="28" spans="1:1">
      <c r="A28" s="7" t="s">
        <v>215</v>
      </c>
    </row>
    <row r="29" spans="1:1">
      <c r="A29" s="7" t="s">
        <v>216</v>
      </c>
    </row>
    <row r="30" spans="1:1">
      <c r="A30" s="7" t="s">
        <v>217</v>
      </c>
    </row>
    <row r="31" spans="1:1">
      <c r="A31" s="7" t="s">
        <v>218</v>
      </c>
    </row>
    <row r="32" spans="1:1">
      <c r="A32" s="7" t="s">
        <v>219</v>
      </c>
    </row>
    <row r="34" spans="1:1" ht="24">
      <c r="A34" s="5" t="s">
        <v>220</v>
      </c>
    </row>
    <row r="36" spans="1:1">
      <c r="A36" s="6" t="s">
        <v>221</v>
      </c>
    </row>
    <row r="37" spans="1:1">
      <c r="A37" s="7"/>
    </row>
    <row r="38" spans="1:1">
      <c r="A38" s="7" t="s">
        <v>222</v>
      </c>
    </row>
    <row r="39" spans="1:1">
      <c r="A39" s="7" t="s">
        <v>223</v>
      </c>
    </row>
    <row r="40" spans="1:1">
      <c r="A40" s="7" t="s">
        <v>224</v>
      </c>
    </row>
    <row r="41" spans="1:1">
      <c r="A41" s="7" t="s">
        <v>225</v>
      </c>
    </row>
    <row r="42" spans="1:1">
      <c r="A42" s="7" t="s">
        <v>226</v>
      </c>
    </row>
    <row r="43" spans="1:1">
      <c r="A43" s="7" t="s">
        <v>227</v>
      </c>
    </row>
    <row r="45" spans="1:1" ht="24">
      <c r="A45" s="5" t="s">
        <v>228</v>
      </c>
    </row>
    <row r="47" spans="1:1">
      <c r="A47" s="6" t="s">
        <v>229</v>
      </c>
    </row>
    <row r="48" spans="1:1">
      <c r="A48" s="7"/>
    </row>
    <row r="49" spans="1:1">
      <c r="A49" s="7" t="s">
        <v>230</v>
      </c>
    </row>
    <row r="50" spans="1:1">
      <c r="A50" s="7" t="s">
        <v>231</v>
      </c>
    </row>
    <row r="51" spans="1:1">
      <c r="A51" s="7" t="s">
        <v>232</v>
      </c>
    </row>
    <row r="52" spans="1:1">
      <c r="A52" s="7" t="s">
        <v>233</v>
      </c>
    </row>
    <row r="53" spans="1:1">
      <c r="A53" s="7" t="s">
        <v>234</v>
      </c>
    </row>
    <row r="54" spans="1:1">
      <c r="A54" s="7" t="s">
        <v>235</v>
      </c>
    </row>
    <row r="55" spans="1:1">
      <c r="A55" s="7" t="s">
        <v>236</v>
      </c>
    </row>
    <row r="56" spans="1:1">
      <c r="A56" s="7" t="s">
        <v>237</v>
      </c>
    </row>
    <row r="58" spans="1:1" ht="24">
      <c r="A58" s="5" t="s">
        <v>238</v>
      </c>
    </row>
    <row r="60" spans="1:1">
      <c r="A60" s="6" t="s">
        <v>239</v>
      </c>
    </row>
    <row r="61" spans="1:1">
      <c r="A61" s="7"/>
    </row>
    <row r="62" spans="1:1">
      <c r="A62" s="7" t="s">
        <v>240</v>
      </c>
    </row>
    <row r="63" spans="1:1">
      <c r="A63" s="7" t="s">
        <v>241</v>
      </c>
    </row>
    <row r="64" spans="1:1">
      <c r="A64" s="7" t="s">
        <v>242</v>
      </c>
    </row>
    <row r="65" spans="1:1">
      <c r="A65" s="7" t="s">
        <v>243</v>
      </c>
    </row>
    <row r="66" spans="1:1">
      <c r="A66" s="7" t="s">
        <v>244</v>
      </c>
    </row>
    <row r="67" spans="1:1">
      <c r="A67" s="7" t="s">
        <v>245</v>
      </c>
    </row>
    <row r="68" spans="1:1">
      <c r="A68" s="7" t="s">
        <v>246</v>
      </c>
    </row>
    <row r="71" spans="1:1" ht="24">
      <c r="A71" s="5" t="s">
        <v>247</v>
      </c>
    </row>
    <row r="73" spans="1:1">
      <c r="A73" s="6" t="s">
        <v>248</v>
      </c>
    </row>
    <row r="74" spans="1:1">
      <c r="A74" s="7"/>
    </row>
    <row r="75" spans="1:1">
      <c r="A75" s="7" t="s">
        <v>249</v>
      </c>
    </row>
    <row r="76" spans="1:1">
      <c r="A76" s="7" t="s">
        <v>250</v>
      </c>
    </row>
    <row r="77" spans="1:1">
      <c r="A77" s="7" t="s">
        <v>251</v>
      </c>
    </row>
    <row r="78" spans="1:1">
      <c r="A78" s="7" t="s">
        <v>252</v>
      </c>
    </row>
    <row r="79" spans="1:1">
      <c r="A79" s="7" t="s">
        <v>253</v>
      </c>
    </row>
    <row r="80" spans="1:1">
      <c r="A80" s="7" t="s">
        <v>254</v>
      </c>
    </row>
    <row r="81" spans="1:1">
      <c r="A81" s="7" t="s">
        <v>255</v>
      </c>
    </row>
    <row r="84" spans="1:1" ht="24">
      <c r="A84" s="5" t="s">
        <v>256</v>
      </c>
    </row>
    <row r="85" spans="1:1">
      <c r="A85" s="7"/>
    </row>
    <row r="86" spans="1:1">
      <c r="A86" s="7" t="s">
        <v>257</v>
      </c>
    </row>
    <row r="87" spans="1:1">
      <c r="A87" s="7" t="s">
        <v>258</v>
      </c>
    </row>
    <row r="88" spans="1:1">
      <c r="A88" s="7" t="s">
        <v>259</v>
      </c>
    </row>
    <row r="89" spans="1:1">
      <c r="A89" s="7" t="s">
        <v>250</v>
      </c>
    </row>
    <row r="90" spans="1:1">
      <c r="A90" s="7" t="s">
        <v>251</v>
      </c>
    </row>
    <row r="91" spans="1:1">
      <c r="A91" s="7" t="s">
        <v>260</v>
      </c>
    </row>
    <row r="92" spans="1:1">
      <c r="A92" s="7" t="s">
        <v>261</v>
      </c>
    </row>
    <row r="93" spans="1:1">
      <c r="A93" s="7" t="s">
        <v>262</v>
      </c>
    </row>
    <row r="95" spans="1:1" ht="24">
      <c r="A95" s="5" t="s">
        <v>263</v>
      </c>
    </row>
    <row r="96" spans="1:1">
      <c r="A96" s="7"/>
    </row>
    <row r="97" spans="1:1">
      <c r="A97" s="7" t="s">
        <v>264</v>
      </c>
    </row>
    <row r="98" spans="1:1">
      <c r="A98" s="7" t="s">
        <v>265</v>
      </c>
    </row>
    <row r="99" spans="1:1">
      <c r="A99" s="7" t="s">
        <v>266</v>
      </c>
    </row>
    <row r="101" spans="1:1">
      <c r="A101" s="8" t="s">
        <v>267</v>
      </c>
    </row>
    <row r="102" spans="1:1">
      <c r="A102" s="8" t="s">
        <v>268</v>
      </c>
    </row>
    <row r="103" spans="1:1">
      <c r="A103" s="8" t="s">
        <v>269</v>
      </c>
    </row>
    <row r="108" spans="1:1" ht="409.5">
      <c r="A108" s="13" t="s">
        <v>316</v>
      </c>
    </row>
    <row r="110" spans="1:1">
      <c r="A110" s="6" t="s">
        <v>320</v>
      </c>
    </row>
    <row r="111" spans="1:1">
      <c r="A111" s="6" t="s">
        <v>321</v>
      </c>
    </row>
    <row r="112" spans="1:1">
      <c r="A112" s="6" t="s">
        <v>322</v>
      </c>
    </row>
    <row r="113" spans="1:1">
      <c r="A113" s="6" t="s">
        <v>321</v>
      </c>
    </row>
    <row r="114" spans="1:1">
      <c r="A114" s="6" t="s">
        <v>323</v>
      </c>
    </row>
    <row r="115" spans="1:1">
      <c r="A115" s="6" t="s">
        <v>321</v>
      </c>
    </row>
    <row r="116" spans="1:1">
      <c r="A116" s="6" t="s">
        <v>324</v>
      </c>
    </row>
    <row r="117" spans="1:1">
      <c r="A117" s="6" t="s">
        <v>321</v>
      </c>
    </row>
    <row r="118" spans="1:1">
      <c r="A118" s="6" t="s">
        <v>325</v>
      </c>
    </row>
    <row r="119" spans="1:1">
      <c r="A119" s="6" t="s">
        <v>321</v>
      </c>
    </row>
    <row r="120" spans="1:1">
      <c r="A120" s="6" t="s">
        <v>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89B9-18D1-42CD-9B53-D30A2254D133}">
  <dimension ref="A1:L63"/>
  <sheetViews>
    <sheetView topLeftCell="A4" zoomScaleNormal="100" workbookViewId="0">
      <selection activeCell="P25" sqref="P25"/>
    </sheetView>
  </sheetViews>
  <sheetFormatPr defaultRowHeight="15"/>
  <cols>
    <col min="1" max="1" width="9.85546875" style="10" bestFit="1" customWidth="1"/>
    <col min="2" max="2" width="13.7109375" style="9" bestFit="1" customWidth="1"/>
    <col min="3" max="3" width="9.140625" style="9"/>
    <col min="4" max="4" width="22" style="9" bestFit="1" customWidth="1"/>
    <col min="5" max="5" width="10.140625" style="9" bestFit="1" customWidth="1"/>
    <col min="6" max="6" width="19.7109375" style="9" bestFit="1" customWidth="1"/>
    <col min="7" max="7" width="11.28515625" style="9" bestFit="1" customWidth="1"/>
    <col min="8" max="8" width="19.7109375" style="11" customWidth="1"/>
    <col min="9" max="9" width="21.42578125" style="11" customWidth="1"/>
    <col min="10" max="10" width="19.85546875" style="15" customWidth="1"/>
    <col min="11" max="11" width="11.7109375" style="9" customWidth="1"/>
    <col min="12" max="12" width="13.5703125" style="9" customWidth="1"/>
    <col min="13" max="16384" width="9.140625" style="9"/>
  </cols>
  <sheetData>
    <row r="1" spans="1:1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1" t="s">
        <v>7</v>
      </c>
      <c r="I1" s="9" t="s">
        <v>8</v>
      </c>
      <c r="J1" s="14" t="s">
        <v>335</v>
      </c>
      <c r="K1" s="9" t="s">
        <v>9</v>
      </c>
      <c r="L1" s="9" t="s">
        <v>319</v>
      </c>
    </row>
    <row r="2" spans="1:12">
      <c r="A2" s="10">
        <v>46192</v>
      </c>
      <c r="B2" s="9" t="s">
        <v>10</v>
      </c>
      <c r="C2" t="s">
        <v>280</v>
      </c>
      <c r="D2" s="12" t="s">
        <v>315</v>
      </c>
      <c r="E2" s="9">
        <v>4</v>
      </c>
      <c r="F2" s="9" t="s">
        <v>311</v>
      </c>
      <c r="G2" s="9" t="s">
        <v>116</v>
      </c>
      <c r="H2" s="11">
        <v>7.9166666666666663E-2</v>
      </c>
      <c r="I2" s="11">
        <v>8.611111111111111E-2</v>
      </c>
      <c r="J2" s="16">
        <f>IF(I2="","", (I2-H2)*1440)</f>
        <v>10.000000000000004</v>
      </c>
      <c r="K2" s="9" t="s">
        <v>196</v>
      </c>
      <c r="L2" s="11" t="str">
        <f t="shared" ref="L2:L33" si="0">IF(I2="","Pending","Completed")</f>
        <v>Completed</v>
      </c>
    </row>
    <row r="3" spans="1:12">
      <c r="A3" s="10">
        <v>46174</v>
      </c>
      <c r="B3" s="9" t="s">
        <v>11</v>
      </c>
      <c r="C3" t="s">
        <v>273</v>
      </c>
      <c r="D3" s="12" t="s">
        <v>318</v>
      </c>
      <c r="E3" s="9">
        <v>1</v>
      </c>
      <c r="F3" s="9" t="s">
        <v>311</v>
      </c>
      <c r="G3" s="9" t="s">
        <v>116</v>
      </c>
      <c r="H3" s="11">
        <v>0.59305555555555556</v>
      </c>
      <c r="I3" s="11">
        <v>0.60833333333333328</v>
      </c>
      <c r="J3" s="16">
        <f t="shared" ref="J3:J63" si="1">IF(I3="","", (I3-H3)*1440)</f>
        <v>21.999999999999922</v>
      </c>
      <c r="K3" s="9" t="s">
        <v>194</v>
      </c>
      <c r="L3" s="11" t="str">
        <f t="shared" si="0"/>
        <v>Completed</v>
      </c>
    </row>
    <row r="4" spans="1:12">
      <c r="A4" s="10">
        <v>46186</v>
      </c>
      <c r="B4" s="9" t="s">
        <v>13</v>
      </c>
      <c r="C4" t="s">
        <v>280</v>
      </c>
      <c r="D4" s="12" t="s">
        <v>315</v>
      </c>
      <c r="E4" s="9">
        <v>4</v>
      </c>
      <c r="F4" s="9" t="s">
        <v>311</v>
      </c>
      <c r="G4" s="9" t="s">
        <v>116</v>
      </c>
      <c r="H4" s="11">
        <v>0.84722222222222221</v>
      </c>
      <c r="I4" s="11">
        <v>0.85347222222222219</v>
      </c>
      <c r="J4" s="16">
        <f t="shared" si="1"/>
        <v>8.999999999999968</v>
      </c>
      <c r="K4" s="9" t="s">
        <v>196</v>
      </c>
      <c r="L4" s="11" t="str">
        <f t="shared" si="0"/>
        <v>Completed</v>
      </c>
    </row>
    <row r="5" spans="1:12">
      <c r="A5" s="10">
        <v>46181</v>
      </c>
      <c r="B5" s="9" t="s">
        <v>15</v>
      </c>
      <c r="C5" t="s">
        <v>280</v>
      </c>
      <c r="D5" s="12" t="s">
        <v>315</v>
      </c>
      <c r="E5" s="9">
        <v>1</v>
      </c>
      <c r="F5" s="9" t="s">
        <v>311</v>
      </c>
      <c r="G5" s="9" t="s">
        <v>118</v>
      </c>
      <c r="H5" s="11">
        <v>0.14305555555555555</v>
      </c>
      <c r="I5" s="11">
        <v>0.15416666666666665</v>
      </c>
      <c r="J5" s="16">
        <f t="shared" si="1"/>
        <v>15.999999999999982</v>
      </c>
      <c r="K5" s="9" t="s">
        <v>196</v>
      </c>
      <c r="L5" s="11" t="str">
        <f t="shared" si="0"/>
        <v>Completed</v>
      </c>
    </row>
    <row r="6" spans="1:12">
      <c r="A6" s="10">
        <v>46201</v>
      </c>
      <c r="B6" s="9" t="s">
        <v>281</v>
      </c>
      <c r="C6" t="s">
        <v>280</v>
      </c>
      <c r="D6" s="12" t="s">
        <v>315</v>
      </c>
      <c r="E6" s="9">
        <v>5</v>
      </c>
      <c r="F6" s="9" t="s">
        <v>311</v>
      </c>
      <c r="G6" s="9" t="s">
        <v>119</v>
      </c>
      <c r="H6" s="11">
        <v>0.18611111111111112</v>
      </c>
      <c r="I6" s="11">
        <v>0.20416666666666666</v>
      </c>
      <c r="J6" s="16">
        <f t="shared" si="1"/>
        <v>25.999999999999986</v>
      </c>
      <c r="K6" s="9" t="s">
        <v>196</v>
      </c>
      <c r="L6" s="11" t="str">
        <f t="shared" si="0"/>
        <v>Completed</v>
      </c>
    </row>
    <row r="7" spans="1:12">
      <c r="A7" s="10">
        <v>46187</v>
      </c>
      <c r="B7" s="9" t="s">
        <v>282</v>
      </c>
      <c r="C7" t="s">
        <v>273</v>
      </c>
      <c r="D7" s="12" t="s">
        <v>318</v>
      </c>
      <c r="E7" s="9">
        <v>1</v>
      </c>
      <c r="F7" s="9" t="s">
        <v>311</v>
      </c>
      <c r="G7" s="9" t="s">
        <v>116</v>
      </c>
      <c r="H7" s="11">
        <v>0.40555555555555556</v>
      </c>
      <c r="I7" s="11">
        <v>0.4152777777777778</v>
      </c>
      <c r="J7" s="16">
        <f t="shared" si="1"/>
        <v>14.00000000000003</v>
      </c>
      <c r="K7" s="9" t="s">
        <v>193</v>
      </c>
      <c r="L7" s="11" t="str">
        <f t="shared" si="0"/>
        <v>Completed</v>
      </c>
    </row>
    <row r="8" spans="1:12">
      <c r="A8" s="10">
        <v>46180</v>
      </c>
      <c r="B8" s="9" t="s">
        <v>18</v>
      </c>
      <c r="C8" t="s">
        <v>273</v>
      </c>
      <c r="D8" s="12" t="s">
        <v>318</v>
      </c>
      <c r="E8" s="9">
        <v>5</v>
      </c>
      <c r="F8" s="9" t="s">
        <v>311</v>
      </c>
      <c r="G8" s="9" t="s">
        <v>118</v>
      </c>
      <c r="H8" s="11">
        <v>0.50555555555555554</v>
      </c>
      <c r="I8" s="11">
        <v>0.51527777777777772</v>
      </c>
      <c r="J8" s="16">
        <f t="shared" si="1"/>
        <v>13.99999999999995</v>
      </c>
      <c r="K8" s="9" t="s">
        <v>194</v>
      </c>
      <c r="L8" s="11" t="str">
        <f t="shared" si="0"/>
        <v>Completed</v>
      </c>
    </row>
    <row r="9" spans="1:12">
      <c r="A9" s="10">
        <v>46198</v>
      </c>
      <c r="B9" s="9" t="s">
        <v>283</v>
      </c>
      <c r="C9" t="s">
        <v>280</v>
      </c>
      <c r="D9" s="12" t="s">
        <v>315</v>
      </c>
      <c r="E9" s="9">
        <v>1</v>
      </c>
      <c r="F9" s="9" t="s">
        <v>313</v>
      </c>
      <c r="G9" s="9" t="s">
        <v>116</v>
      </c>
      <c r="H9" s="11">
        <v>0.82222222222222219</v>
      </c>
      <c r="I9" s="11">
        <v>0.83055555555555549</v>
      </c>
      <c r="J9" s="16">
        <f t="shared" si="1"/>
        <v>11.999999999999957</v>
      </c>
      <c r="K9" s="9" t="s">
        <v>194</v>
      </c>
      <c r="L9" s="11" t="str">
        <f t="shared" si="0"/>
        <v>Completed</v>
      </c>
    </row>
    <row r="10" spans="1:12">
      <c r="A10" s="10">
        <v>46200</v>
      </c>
      <c r="B10" s="9" t="s">
        <v>284</v>
      </c>
      <c r="C10" t="s">
        <v>273</v>
      </c>
      <c r="D10" s="12" t="s">
        <v>318</v>
      </c>
      <c r="E10" s="9">
        <v>4</v>
      </c>
      <c r="F10" s="9" t="s">
        <v>311</v>
      </c>
      <c r="G10" s="9" t="s">
        <v>119</v>
      </c>
      <c r="H10" s="11">
        <v>0.35416666666666669</v>
      </c>
      <c r="I10" s="11">
        <v>0.36319444444444449</v>
      </c>
      <c r="J10" s="16">
        <f t="shared" si="1"/>
        <v>13.000000000000034</v>
      </c>
      <c r="K10" s="9" t="s">
        <v>196</v>
      </c>
      <c r="L10" s="11" t="str">
        <f t="shared" si="0"/>
        <v>Completed</v>
      </c>
    </row>
    <row r="11" spans="1:12">
      <c r="A11" s="10">
        <v>46193</v>
      </c>
      <c r="B11" s="9" t="s">
        <v>25</v>
      </c>
      <c r="C11" t="s">
        <v>273</v>
      </c>
      <c r="D11" s="12" t="s">
        <v>318</v>
      </c>
      <c r="E11" s="9">
        <v>2</v>
      </c>
      <c r="F11" s="9" t="s">
        <v>311</v>
      </c>
      <c r="G11" s="9" t="s">
        <v>119</v>
      </c>
      <c r="H11" s="11">
        <v>0.58263888888888893</v>
      </c>
      <c r="I11" s="11">
        <v>0.60138888888888897</v>
      </c>
      <c r="J11" s="16">
        <f t="shared" si="1"/>
        <v>27.000000000000064</v>
      </c>
      <c r="K11" s="9" t="s">
        <v>194</v>
      </c>
      <c r="L11" s="11" t="str">
        <f t="shared" si="0"/>
        <v>Completed</v>
      </c>
    </row>
    <row r="12" spans="1:12">
      <c r="A12" s="10">
        <v>46187</v>
      </c>
      <c r="B12" s="9" t="s">
        <v>285</v>
      </c>
      <c r="C12" t="s">
        <v>273</v>
      </c>
      <c r="D12" s="12" t="s">
        <v>318</v>
      </c>
      <c r="E12" s="9">
        <v>3</v>
      </c>
      <c r="F12" s="9" t="s">
        <v>314</v>
      </c>
      <c r="G12" s="9" t="s">
        <v>119</v>
      </c>
      <c r="H12" s="11">
        <v>0.35416666666666669</v>
      </c>
      <c r="I12" s="11">
        <v>0.35902777777777778</v>
      </c>
      <c r="J12" s="16">
        <f t="shared" si="1"/>
        <v>6.9999999999999751</v>
      </c>
      <c r="K12" s="9" t="s">
        <v>193</v>
      </c>
      <c r="L12" s="11" t="str">
        <f t="shared" si="0"/>
        <v>Completed</v>
      </c>
    </row>
    <row r="13" spans="1:12">
      <c r="A13" s="10">
        <v>46202</v>
      </c>
      <c r="B13" s="9" t="s">
        <v>29</v>
      </c>
      <c r="C13" t="s">
        <v>273</v>
      </c>
      <c r="D13" s="12" t="s">
        <v>318</v>
      </c>
      <c r="E13" s="9">
        <v>3</v>
      </c>
      <c r="F13" s="9" t="s">
        <v>311</v>
      </c>
      <c r="G13" s="9" t="s">
        <v>116</v>
      </c>
      <c r="H13" s="11">
        <v>0.55000000000000004</v>
      </c>
      <c r="I13" s="11">
        <v>0.55902777777777779</v>
      </c>
      <c r="J13" s="16">
        <f t="shared" si="1"/>
        <v>12.999999999999954</v>
      </c>
      <c r="K13" s="9" t="s">
        <v>196</v>
      </c>
      <c r="L13" s="11" t="str">
        <f t="shared" si="0"/>
        <v>Completed</v>
      </c>
    </row>
    <row r="14" spans="1:12">
      <c r="A14" s="10">
        <v>46179</v>
      </c>
      <c r="B14" s="9" t="s">
        <v>30</v>
      </c>
      <c r="C14" t="s">
        <v>280</v>
      </c>
      <c r="D14" s="12" t="s">
        <v>315</v>
      </c>
      <c r="E14" s="9">
        <v>5</v>
      </c>
      <c r="F14" s="9" t="s">
        <v>312</v>
      </c>
      <c r="G14" s="9" t="s">
        <v>116</v>
      </c>
      <c r="H14" s="11">
        <v>0.9145833333333333</v>
      </c>
      <c r="I14" s="11">
        <v>0.93263888888888891</v>
      </c>
      <c r="J14" s="16">
        <f t="shared" si="1"/>
        <v>26.000000000000068</v>
      </c>
      <c r="K14" s="9" t="s">
        <v>196</v>
      </c>
      <c r="L14" s="11" t="str">
        <f t="shared" si="0"/>
        <v>Completed</v>
      </c>
    </row>
    <row r="15" spans="1:12">
      <c r="A15" s="10">
        <v>46191</v>
      </c>
      <c r="B15" s="9" t="s">
        <v>32</v>
      </c>
      <c r="C15" t="s">
        <v>273</v>
      </c>
      <c r="D15" s="12" t="s">
        <v>318</v>
      </c>
      <c r="E15" s="9">
        <v>3</v>
      </c>
      <c r="F15" s="9" t="s">
        <v>311</v>
      </c>
      <c r="G15" s="9" t="s">
        <v>119</v>
      </c>
      <c r="H15" s="11">
        <v>0.60486111111111107</v>
      </c>
      <c r="I15" s="11">
        <v>0.61736111111111103</v>
      </c>
      <c r="J15" s="16">
        <f t="shared" si="1"/>
        <v>17.999999999999936</v>
      </c>
      <c r="K15" s="9" t="s">
        <v>194</v>
      </c>
      <c r="L15" s="11" t="str">
        <f t="shared" si="0"/>
        <v>Completed</v>
      </c>
    </row>
    <row r="16" spans="1:12">
      <c r="A16" s="10">
        <v>46179</v>
      </c>
      <c r="B16" s="9" t="s">
        <v>33</v>
      </c>
      <c r="C16" t="s">
        <v>273</v>
      </c>
      <c r="D16" s="12" t="s">
        <v>318</v>
      </c>
      <c r="E16" s="9">
        <v>4</v>
      </c>
      <c r="F16" s="9" t="s">
        <v>311</v>
      </c>
      <c r="G16" s="9" t="s">
        <v>119</v>
      </c>
      <c r="H16" s="11">
        <v>0.43611111111111112</v>
      </c>
      <c r="I16" s="11">
        <v>0.44236111111111109</v>
      </c>
      <c r="J16" s="16">
        <f t="shared" si="1"/>
        <v>8.999999999999968</v>
      </c>
      <c r="K16" s="9" t="s">
        <v>194</v>
      </c>
      <c r="L16" s="11" t="str">
        <f t="shared" si="0"/>
        <v>Completed</v>
      </c>
    </row>
    <row r="17" spans="1:12">
      <c r="A17" s="10">
        <v>46189</v>
      </c>
      <c r="B17" s="9" t="s">
        <v>286</v>
      </c>
      <c r="C17" t="s">
        <v>280</v>
      </c>
      <c r="D17" s="12" t="s">
        <v>315</v>
      </c>
      <c r="E17" s="9">
        <v>3</v>
      </c>
      <c r="F17" s="9" t="s">
        <v>311</v>
      </c>
      <c r="G17" s="9" t="s">
        <v>116</v>
      </c>
      <c r="H17" s="11">
        <v>4.2361111111111113E-2</v>
      </c>
      <c r="I17" s="11">
        <v>5.0694444444444445E-2</v>
      </c>
      <c r="J17" s="16">
        <f t="shared" si="1"/>
        <v>11.999999999999996</v>
      </c>
      <c r="K17" s="9" t="s">
        <v>194</v>
      </c>
      <c r="L17" s="11" t="str">
        <f t="shared" si="0"/>
        <v>Completed</v>
      </c>
    </row>
    <row r="18" spans="1:12">
      <c r="A18" s="10">
        <v>46183</v>
      </c>
      <c r="B18" s="9" t="s">
        <v>35</v>
      </c>
      <c r="C18" t="s">
        <v>273</v>
      </c>
      <c r="D18" s="12" t="s">
        <v>318</v>
      </c>
      <c r="E18" s="9">
        <v>4</v>
      </c>
      <c r="F18" s="9" t="s">
        <v>311</v>
      </c>
      <c r="G18" s="9" t="s">
        <v>116</v>
      </c>
      <c r="H18" s="11">
        <v>0.60138888888888886</v>
      </c>
      <c r="I18" s="11">
        <v>0.60763888888888884</v>
      </c>
      <c r="J18" s="16">
        <f t="shared" si="1"/>
        <v>8.999999999999968</v>
      </c>
      <c r="K18" s="9" t="s">
        <v>194</v>
      </c>
      <c r="L18" s="11" t="str">
        <f t="shared" si="0"/>
        <v>Completed</v>
      </c>
    </row>
    <row r="19" spans="1:12">
      <c r="A19" s="10">
        <v>46175</v>
      </c>
      <c r="B19" s="9" t="s">
        <v>287</v>
      </c>
      <c r="C19" t="s">
        <v>280</v>
      </c>
      <c r="D19" s="12" t="s">
        <v>315</v>
      </c>
      <c r="E19" s="9">
        <v>4</v>
      </c>
      <c r="F19" s="9" t="s">
        <v>311</v>
      </c>
      <c r="G19" s="9" t="s">
        <v>116</v>
      </c>
      <c r="H19" s="11">
        <v>0.84305555555555556</v>
      </c>
      <c r="I19" s="11">
        <v>0.85138888888888886</v>
      </c>
      <c r="J19" s="16">
        <f t="shared" si="1"/>
        <v>11.999999999999957</v>
      </c>
      <c r="K19" s="9" t="s">
        <v>193</v>
      </c>
      <c r="L19" s="11" t="str">
        <f t="shared" si="0"/>
        <v>Completed</v>
      </c>
    </row>
    <row r="20" spans="1:12">
      <c r="A20" s="10">
        <v>46193</v>
      </c>
      <c r="B20" s="9" t="s">
        <v>37</v>
      </c>
      <c r="C20" t="s">
        <v>273</v>
      </c>
      <c r="D20" s="12" t="s">
        <v>318</v>
      </c>
      <c r="E20" s="9">
        <v>1</v>
      </c>
      <c r="F20" s="9" t="s">
        <v>317</v>
      </c>
      <c r="G20" s="9" t="s">
        <v>119</v>
      </c>
      <c r="H20" s="11">
        <v>0.6118055555555556</v>
      </c>
      <c r="I20" s="11">
        <v>0.61527777777777781</v>
      </c>
      <c r="J20" s="16">
        <f t="shared" si="1"/>
        <v>4.9999999999999822</v>
      </c>
      <c r="K20" s="9" t="s">
        <v>194</v>
      </c>
      <c r="L20" s="11" t="str">
        <f t="shared" si="0"/>
        <v>Completed</v>
      </c>
    </row>
    <row r="21" spans="1:12">
      <c r="A21" s="10">
        <v>46204</v>
      </c>
      <c r="B21" s="9" t="s">
        <v>288</v>
      </c>
      <c r="C21" t="s">
        <v>273</v>
      </c>
      <c r="D21" s="12" t="s">
        <v>318</v>
      </c>
      <c r="E21" s="9">
        <v>4</v>
      </c>
      <c r="F21" s="9" t="s">
        <v>311</v>
      </c>
      <c r="G21" s="9" t="s">
        <v>119</v>
      </c>
      <c r="H21" s="11">
        <v>0.56944444444444442</v>
      </c>
      <c r="I21" s="11">
        <v>0.58819444444444446</v>
      </c>
      <c r="J21" s="16">
        <f t="shared" si="1"/>
        <v>27.000000000000064</v>
      </c>
      <c r="K21" s="9" t="s">
        <v>194</v>
      </c>
      <c r="L21" s="11" t="str">
        <f t="shared" si="0"/>
        <v>Completed</v>
      </c>
    </row>
    <row r="22" spans="1:12">
      <c r="A22" s="10">
        <v>46198</v>
      </c>
      <c r="B22" s="9" t="s">
        <v>289</v>
      </c>
      <c r="C22" t="s">
        <v>273</v>
      </c>
      <c r="D22" s="12" t="s">
        <v>318</v>
      </c>
      <c r="E22" s="9">
        <v>2</v>
      </c>
      <c r="F22" s="9" t="s">
        <v>311</v>
      </c>
      <c r="G22" s="9" t="s">
        <v>333</v>
      </c>
      <c r="H22" s="11">
        <v>0.22708333333333333</v>
      </c>
      <c r="I22" s="11">
        <v>0.23125000000000001</v>
      </c>
      <c r="J22" s="16">
        <f t="shared" si="1"/>
        <v>6.0000000000000187</v>
      </c>
      <c r="K22" s="9" t="s">
        <v>194</v>
      </c>
      <c r="L22" s="11" t="str">
        <f t="shared" si="0"/>
        <v>Completed</v>
      </c>
    </row>
    <row r="23" spans="1:12">
      <c r="A23" s="10">
        <v>46189</v>
      </c>
      <c r="B23" s="9" t="s">
        <v>290</v>
      </c>
      <c r="C23" t="s">
        <v>273</v>
      </c>
      <c r="D23" s="12" t="s">
        <v>318</v>
      </c>
      <c r="E23" s="9">
        <v>4</v>
      </c>
      <c r="F23" s="9" t="s">
        <v>311</v>
      </c>
      <c r="G23" s="9" t="s">
        <v>116</v>
      </c>
      <c r="H23" s="11">
        <v>0.44861111111111113</v>
      </c>
      <c r="I23" s="11">
        <v>0.46111111111111114</v>
      </c>
      <c r="J23" s="16">
        <f t="shared" si="1"/>
        <v>18.000000000000014</v>
      </c>
      <c r="K23" s="9" t="s">
        <v>193</v>
      </c>
      <c r="L23" s="11" t="str">
        <f t="shared" si="0"/>
        <v>Completed</v>
      </c>
    </row>
    <row r="24" spans="1:12">
      <c r="A24" s="10">
        <v>46183</v>
      </c>
      <c r="B24" s="9" t="s">
        <v>291</v>
      </c>
      <c r="C24" t="s">
        <v>273</v>
      </c>
      <c r="D24" s="12" t="s">
        <v>318</v>
      </c>
      <c r="E24" s="9">
        <v>4</v>
      </c>
      <c r="F24" s="9" t="s">
        <v>314</v>
      </c>
      <c r="G24" s="9" t="s">
        <v>333</v>
      </c>
      <c r="H24" s="11">
        <v>0.40138888888888891</v>
      </c>
      <c r="I24" s="11">
        <v>0.41041666666666671</v>
      </c>
      <c r="J24" s="16">
        <f t="shared" si="1"/>
        <v>13.000000000000034</v>
      </c>
      <c r="K24" s="9" t="s">
        <v>193</v>
      </c>
      <c r="L24" s="11" t="str">
        <f t="shared" si="0"/>
        <v>Completed</v>
      </c>
    </row>
    <row r="25" spans="1:12">
      <c r="A25" s="10">
        <v>46178</v>
      </c>
      <c r="B25" s="9" t="s">
        <v>292</v>
      </c>
      <c r="C25" t="s">
        <v>273</v>
      </c>
      <c r="D25" s="12" t="s">
        <v>318</v>
      </c>
      <c r="E25" s="9">
        <v>2</v>
      </c>
      <c r="F25" s="9" t="s">
        <v>313</v>
      </c>
      <c r="G25" s="9" t="s">
        <v>118</v>
      </c>
      <c r="H25" s="11">
        <v>0.49166666666666664</v>
      </c>
      <c r="I25" s="11">
        <v>0.49652777777777773</v>
      </c>
      <c r="J25" s="16">
        <f t="shared" si="1"/>
        <v>6.9999999999999751</v>
      </c>
      <c r="K25" s="9" t="s">
        <v>196</v>
      </c>
      <c r="L25" s="11" t="str">
        <f t="shared" si="0"/>
        <v>Completed</v>
      </c>
    </row>
    <row r="26" spans="1:12">
      <c r="A26" s="10">
        <v>46197</v>
      </c>
      <c r="B26" s="9" t="s">
        <v>44</v>
      </c>
      <c r="C26" t="s">
        <v>280</v>
      </c>
      <c r="D26" s="12" t="s">
        <v>315</v>
      </c>
      <c r="E26" s="9">
        <v>2</v>
      </c>
      <c r="F26" s="9" t="s">
        <v>311</v>
      </c>
      <c r="G26" s="9" t="s">
        <v>118</v>
      </c>
      <c r="H26" s="11">
        <v>0.99722222222222223</v>
      </c>
      <c r="J26" s="16" t="str">
        <f t="shared" si="1"/>
        <v/>
      </c>
      <c r="K26" s="9" t="s">
        <v>196</v>
      </c>
      <c r="L26" s="11" t="str">
        <f t="shared" si="0"/>
        <v>Pending</v>
      </c>
    </row>
    <row r="27" spans="1:12">
      <c r="A27" s="10">
        <v>46189</v>
      </c>
      <c r="B27" s="9" t="s">
        <v>45</v>
      </c>
      <c r="C27" t="s">
        <v>273</v>
      </c>
      <c r="D27" s="12" t="s">
        <v>318</v>
      </c>
      <c r="E27" s="9">
        <v>1</v>
      </c>
      <c r="F27" s="9" t="s">
        <v>312</v>
      </c>
      <c r="G27" s="9" t="s">
        <v>119</v>
      </c>
      <c r="H27" s="11">
        <v>0.47847222222222224</v>
      </c>
      <c r="J27" s="16" t="str">
        <f t="shared" si="1"/>
        <v/>
      </c>
      <c r="K27" s="9" t="s">
        <v>196</v>
      </c>
      <c r="L27" s="11" t="str">
        <f t="shared" si="0"/>
        <v>Pending</v>
      </c>
    </row>
    <row r="28" spans="1:12">
      <c r="A28" s="10">
        <v>46202</v>
      </c>
      <c r="B28" s="9" t="s">
        <v>46</v>
      </c>
      <c r="C28" t="s">
        <v>273</v>
      </c>
      <c r="D28" s="12" t="s">
        <v>318</v>
      </c>
      <c r="E28" s="9">
        <v>1</v>
      </c>
      <c r="F28" s="9" t="s">
        <v>311</v>
      </c>
      <c r="G28" s="9" t="s">
        <v>118</v>
      </c>
      <c r="H28" s="11">
        <v>0.35416666666666669</v>
      </c>
      <c r="I28" s="11">
        <v>0.37430555555555556</v>
      </c>
      <c r="J28" s="16">
        <f t="shared" si="1"/>
        <v>28.999999999999979</v>
      </c>
      <c r="K28" s="9" t="s">
        <v>194</v>
      </c>
      <c r="L28" s="11" t="str">
        <f t="shared" si="0"/>
        <v>Completed</v>
      </c>
    </row>
    <row r="29" spans="1:12">
      <c r="A29" s="10">
        <v>46193</v>
      </c>
      <c r="B29" s="9" t="s">
        <v>293</v>
      </c>
      <c r="C29" t="s">
        <v>280</v>
      </c>
      <c r="D29" s="12" t="s">
        <v>315</v>
      </c>
      <c r="E29" s="9">
        <v>4</v>
      </c>
      <c r="F29" s="9" t="s">
        <v>311</v>
      </c>
      <c r="G29" s="9" t="s">
        <v>116</v>
      </c>
      <c r="H29" s="11">
        <v>0.86250000000000004</v>
      </c>
      <c r="J29" s="16" t="str">
        <f t="shared" si="1"/>
        <v/>
      </c>
      <c r="K29" s="9" t="s">
        <v>196</v>
      </c>
      <c r="L29" s="11" t="str">
        <f t="shared" si="0"/>
        <v>Pending</v>
      </c>
    </row>
    <row r="30" spans="1:12">
      <c r="A30" s="10">
        <v>46193</v>
      </c>
      <c r="B30" s="9" t="s">
        <v>48</v>
      </c>
      <c r="C30" t="s">
        <v>273</v>
      </c>
      <c r="D30" s="12" t="s">
        <v>318</v>
      </c>
      <c r="E30" s="9">
        <v>1</v>
      </c>
      <c r="F30" s="9" t="s">
        <v>311</v>
      </c>
      <c r="G30" s="9" t="s">
        <v>119</v>
      </c>
      <c r="H30" s="11">
        <v>0.21249999999999999</v>
      </c>
      <c r="I30" s="11">
        <v>0.2159722222222222</v>
      </c>
      <c r="J30" s="16">
        <f t="shared" si="1"/>
        <v>4.9999999999999822</v>
      </c>
      <c r="K30" s="9" t="s">
        <v>194</v>
      </c>
      <c r="L30" s="11" t="str">
        <f t="shared" si="0"/>
        <v>Completed</v>
      </c>
    </row>
    <row r="31" spans="1:12">
      <c r="A31" s="10">
        <v>46180</v>
      </c>
      <c r="B31" s="9" t="s">
        <v>294</v>
      </c>
      <c r="C31" t="s">
        <v>273</v>
      </c>
      <c r="D31" s="12" t="s">
        <v>318</v>
      </c>
      <c r="E31" s="9">
        <v>4</v>
      </c>
      <c r="F31" s="9" t="s">
        <v>312</v>
      </c>
      <c r="G31" s="9" t="s">
        <v>119</v>
      </c>
      <c r="H31" s="11">
        <v>0.65138888888888891</v>
      </c>
      <c r="I31" s="11">
        <v>0.66041666666666665</v>
      </c>
      <c r="J31" s="16">
        <f t="shared" si="1"/>
        <v>12.999999999999954</v>
      </c>
      <c r="K31" s="9" t="s">
        <v>196</v>
      </c>
      <c r="L31" s="11" t="str">
        <f t="shared" si="0"/>
        <v>Completed</v>
      </c>
    </row>
    <row r="32" spans="1:12">
      <c r="A32" s="10">
        <v>46192</v>
      </c>
      <c r="B32" s="9" t="s">
        <v>295</v>
      </c>
      <c r="C32" t="s">
        <v>273</v>
      </c>
      <c r="D32" s="12" t="s">
        <v>318</v>
      </c>
      <c r="E32" s="9">
        <v>4</v>
      </c>
      <c r="F32" s="9" t="s">
        <v>314</v>
      </c>
      <c r="G32" s="9" t="s">
        <v>116</v>
      </c>
      <c r="H32" s="11">
        <v>0.44097222222222221</v>
      </c>
      <c r="I32" s="11">
        <v>0.45208333333333334</v>
      </c>
      <c r="J32" s="16">
        <f t="shared" si="1"/>
        <v>16.000000000000021</v>
      </c>
      <c r="K32" s="9" t="s">
        <v>196</v>
      </c>
      <c r="L32" s="11" t="str">
        <f t="shared" si="0"/>
        <v>Completed</v>
      </c>
    </row>
    <row r="33" spans="1:12">
      <c r="A33" s="10">
        <v>46190</v>
      </c>
      <c r="B33" s="9" t="s">
        <v>52</v>
      </c>
      <c r="C33" t="s">
        <v>273</v>
      </c>
      <c r="D33" s="12" t="s">
        <v>318</v>
      </c>
      <c r="E33" s="9">
        <v>4</v>
      </c>
      <c r="F33" s="9" t="s">
        <v>311</v>
      </c>
      <c r="G33" s="9" t="s">
        <v>118</v>
      </c>
      <c r="H33" s="11">
        <v>0.4777777777777778</v>
      </c>
      <c r="I33" s="11">
        <v>0.4826388888888889</v>
      </c>
      <c r="J33" s="16">
        <f t="shared" si="1"/>
        <v>6.9999999999999751</v>
      </c>
      <c r="K33" s="9" t="s">
        <v>194</v>
      </c>
      <c r="L33" s="11" t="str">
        <f t="shared" si="0"/>
        <v>Completed</v>
      </c>
    </row>
    <row r="34" spans="1:12">
      <c r="A34" s="10">
        <v>46190</v>
      </c>
      <c r="B34" s="9" t="s">
        <v>53</v>
      </c>
      <c r="C34" t="s">
        <v>280</v>
      </c>
      <c r="D34" s="12" t="s">
        <v>315</v>
      </c>
      <c r="E34" s="9">
        <v>4</v>
      </c>
      <c r="F34" s="9" t="s">
        <v>311</v>
      </c>
      <c r="G34" s="9" t="s">
        <v>118</v>
      </c>
      <c r="H34" s="11">
        <v>0.18680555555555556</v>
      </c>
      <c r="I34" s="11">
        <v>0.20555555555555555</v>
      </c>
      <c r="J34" s="16">
        <f t="shared" si="1"/>
        <v>26.999999999999986</v>
      </c>
      <c r="K34" s="9" t="s">
        <v>194</v>
      </c>
      <c r="L34" s="11" t="str">
        <f t="shared" ref="L34:L63" si="2">IF(I34="","Pending","Completed")</f>
        <v>Completed</v>
      </c>
    </row>
    <row r="35" spans="1:12">
      <c r="A35" s="10">
        <v>46202</v>
      </c>
      <c r="B35" s="9" t="s">
        <v>54</v>
      </c>
      <c r="C35" t="s">
        <v>273</v>
      </c>
      <c r="D35" s="12" t="s">
        <v>318</v>
      </c>
      <c r="E35" s="9">
        <v>4</v>
      </c>
      <c r="F35" s="9" t="s">
        <v>317</v>
      </c>
      <c r="G35" s="9" t="s">
        <v>116</v>
      </c>
      <c r="H35" s="11">
        <v>0.24236111111111111</v>
      </c>
      <c r="I35" s="11">
        <v>0.26319444444444445</v>
      </c>
      <c r="J35" s="16">
        <f t="shared" si="1"/>
        <v>30.000000000000014</v>
      </c>
      <c r="K35" s="9" t="s">
        <v>194</v>
      </c>
      <c r="L35" s="11" t="str">
        <f t="shared" si="2"/>
        <v>Completed</v>
      </c>
    </row>
    <row r="36" spans="1:12">
      <c r="A36" s="10">
        <v>46204</v>
      </c>
      <c r="B36" s="9" t="s">
        <v>55</v>
      </c>
      <c r="C36" t="s">
        <v>273</v>
      </c>
      <c r="D36" s="12" t="s">
        <v>318</v>
      </c>
      <c r="E36" s="9">
        <v>5</v>
      </c>
      <c r="F36" s="9" t="s">
        <v>311</v>
      </c>
      <c r="G36" s="9" t="s">
        <v>119</v>
      </c>
      <c r="H36" s="11">
        <v>0.34027777777777779</v>
      </c>
      <c r="J36" s="16" t="str">
        <f t="shared" si="1"/>
        <v/>
      </c>
      <c r="K36" s="9" t="s">
        <v>196</v>
      </c>
      <c r="L36" s="11" t="str">
        <f t="shared" si="2"/>
        <v>Pending</v>
      </c>
    </row>
    <row r="37" spans="1:12">
      <c r="A37" s="10">
        <v>46192</v>
      </c>
      <c r="B37" s="9" t="s">
        <v>296</v>
      </c>
      <c r="C37" t="s">
        <v>273</v>
      </c>
      <c r="D37" s="12" t="s">
        <v>318</v>
      </c>
      <c r="E37" s="9">
        <v>4</v>
      </c>
      <c r="F37" s="9" t="s">
        <v>312</v>
      </c>
      <c r="G37" s="9" t="s">
        <v>116</v>
      </c>
      <c r="H37" s="11">
        <v>0.2361111111111111</v>
      </c>
      <c r="J37" s="16" t="str">
        <f t="shared" si="1"/>
        <v/>
      </c>
      <c r="K37" s="9" t="s">
        <v>196</v>
      </c>
      <c r="L37" s="11" t="str">
        <f t="shared" si="2"/>
        <v>Pending</v>
      </c>
    </row>
    <row r="38" spans="1:12">
      <c r="A38" s="10">
        <v>46188</v>
      </c>
      <c r="B38" s="9" t="s">
        <v>58</v>
      </c>
      <c r="C38" t="s">
        <v>280</v>
      </c>
      <c r="D38" s="12" t="s">
        <v>315</v>
      </c>
      <c r="E38" s="9">
        <v>5</v>
      </c>
      <c r="F38" s="9" t="s">
        <v>313</v>
      </c>
      <c r="G38" s="9" t="s">
        <v>116</v>
      </c>
      <c r="H38" s="11">
        <v>8.3333333333333329E-2</v>
      </c>
      <c r="I38" s="11">
        <v>9.9999999999999992E-2</v>
      </c>
      <c r="J38" s="16">
        <f t="shared" si="1"/>
        <v>23.999999999999993</v>
      </c>
      <c r="K38" s="9" t="s">
        <v>194</v>
      </c>
      <c r="L38" s="11" t="str">
        <f t="shared" si="2"/>
        <v>Completed</v>
      </c>
    </row>
    <row r="39" spans="1:12">
      <c r="A39" s="10">
        <v>46194</v>
      </c>
      <c r="B39" s="9" t="s">
        <v>297</v>
      </c>
      <c r="C39" t="s">
        <v>280</v>
      </c>
      <c r="D39" s="12" t="s">
        <v>315</v>
      </c>
      <c r="E39" s="9">
        <v>5</v>
      </c>
      <c r="F39" s="9" t="s">
        <v>317</v>
      </c>
      <c r="G39" s="9" t="s">
        <v>116</v>
      </c>
      <c r="H39" s="11">
        <v>0.94305555555555554</v>
      </c>
      <c r="I39" s="11">
        <v>0.94652777777777775</v>
      </c>
      <c r="J39" s="16">
        <f t="shared" si="1"/>
        <v>4.9999999999999822</v>
      </c>
      <c r="K39" s="9" t="s">
        <v>196</v>
      </c>
      <c r="L39" s="11" t="str">
        <f t="shared" si="2"/>
        <v>Completed</v>
      </c>
    </row>
    <row r="40" spans="1:12">
      <c r="A40" s="10">
        <v>46174</v>
      </c>
      <c r="B40" s="9" t="s">
        <v>62</v>
      </c>
      <c r="C40" t="s">
        <v>280</v>
      </c>
      <c r="D40" s="12" t="s">
        <v>315</v>
      </c>
      <c r="E40" s="9">
        <v>1</v>
      </c>
      <c r="F40" s="9" t="s">
        <v>311</v>
      </c>
      <c r="G40" s="9" t="s">
        <v>128</v>
      </c>
      <c r="H40" s="11">
        <v>0.98124999999999996</v>
      </c>
      <c r="I40" s="11">
        <v>0.98958333333333326</v>
      </c>
      <c r="J40" s="16">
        <f t="shared" si="1"/>
        <v>11.999999999999957</v>
      </c>
      <c r="K40" s="9" t="s">
        <v>194</v>
      </c>
      <c r="L40" s="11" t="str">
        <f t="shared" si="2"/>
        <v>Completed</v>
      </c>
    </row>
    <row r="41" spans="1:12">
      <c r="A41" s="10">
        <v>46195</v>
      </c>
      <c r="B41" s="9" t="s">
        <v>63</v>
      </c>
      <c r="C41" t="s">
        <v>280</v>
      </c>
      <c r="D41" s="12" t="s">
        <v>315</v>
      </c>
      <c r="E41" s="9">
        <v>1</v>
      </c>
      <c r="F41" s="9" t="s">
        <v>311</v>
      </c>
      <c r="G41" s="9" t="s">
        <v>119</v>
      </c>
      <c r="H41" s="11">
        <v>0.7319444444444444</v>
      </c>
      <c r="I41" s="11">
        <v>0.74861111111111112</v>
      </c>
      <c r="J41" s="16">
        <f t="shared" si="1"/>
        <v>24.000000000000075</v>
      </c>
      <c r="K41" s="9" t="s">
        <v>194</v>
      </c>
      <c r="L41" s="11" t="str">
        <f t="shared" si="2"/>
        <v>Completed</v>
      </c>
    </row>
    <row r="42" spans="1:12">
      <c r="A42" s="10">
        <v>46185</v>
      </c>
      <c r="B42" s="9" t="s">
        <v>64</v>
      </c>
      <c r="C42" t="s">
        <v>273</v>
      </c>
      <c r="D42" s="12" t="s">
        <v>318</v>
      </c>
      <c r="E42" s="9">
        <v>3</v>
      </c>
      <c r="F42" s="9" t="s">
        <v>313</v>
      </c>
      <c r="G42" s="9" t="s">
        <v>119</v>
      </c>
      <c r="H42" s="11">
        <v>0.35416666666666669</v>
      </c>
      <c r="I42" s="11">
        <v>0.37222222222222223</v>
      </c>
      <c r="J42" s="16">
        <f t="shared" si="1"/>
        <v>25.999999999999986</v>
      </c>
      <c r="K42" s="9" t="s">
        <v>196</v>
      </c>
      <c r="L42" s="11" t="str">
        <f t="shared" si="2"/>
        <v>Completed</v>
      </c>
    </row>
    <row r="43" spans="1:12">
      <c r="A43" s="10">
        <v>46196</v>
      </c>
      <c r="B43" s="9" t="s">
        <v>65</v>
      </c>
      <c r="C43" t="s">
        <v>273</v>
      </c>
      <c r="D43" s="12" t="s">
        <v>318</v>
      </c>
      <c r="E43" s="9">
        <v>4</v>
      </c>
      <c r="F43" s="9" t="s">
        <v>312</v>
      </c>
      <c r="G43" s="9" t="s">
        <v>116</v>
      </c>
      <c r="H43" s="11">
        <v>0.44444444444444442</v>
      </c>
      <c r="I43" s="11">
        <v>0.45416666666666666</v>
      </c>
      <c r="J43" s="16">
        <f t="shared" si="1"/>
        <v>14.00000000000003</v>
      </c>
      <c r="K43" s="9" t="s">
        <v>193</v>
      </c>
      <c r="L43" s="11" t="str">
        <f t="shared" si="2"/>
        <v>Completed</v>
      </c>
    </row>
    <row r="44" spans="1:12">
      <c r="A44" s="10">
        <v>46186</v>
      </c>
      <c r="B44" s="9" t="s">
        <v>298</v>
      </c>
      <c r="C44" t="s">
        <v>273</v>
      </c>
      <c r="D44" s="12" t="s">
        <v>318</v>
      </c>
      <c r="E44" s="9">
        <v>1</v>
      </c>
      <c r="F44" s="9" t="s">
        <v>317</v>
      </c>
      <c r="G44" s="9" t="s">
        <v>128</v>
      </c>
      <c r="H44" s="11">
        <v>0.65763888888888888</v>
      </c>
      <c r="I44" s="11">
        <v>0.67083333333333328</v>
      </c>
      <c r="J44" s="16">
        <f t="shared" si="1"/>
        <v>18.999999999999932</v>
      </c>
      <c r="K44" s="9" t="s">
        <v>193</v>
      </c>
      <c r="L44" s="11" t="str">
        <f t="shared" si="2"/>
        <v>Completed</v>
      </c>
    </row>
    <row r="45" spans="1:12">
      <c r="A45" s="10">
        <v>46196</v>
      </c>
      <c r="B45" s="9" t="s">
        <v>299</v>
      </c>
      <c r="C45" t="s">
        <v>273</v>
      </c>
      <c r="D45" s="12" t="s">
        <v>318</v>
      </c>
      <c r="E45" s="9">
        <v>4</v>
      </c>
      <c r="F45" s="9" t="s">
        <v>311</v>
      </c>
      <c r="G45" s="9" t="s">
        <v>116</v>
      </c>
      <c r="H45" s="11">
        <v>0.26666666666666666</v>
      </c>
      <c r="I45" s="11">
        <v>0.27083333333333331</v>
      </c>
      <c r="J45" s="16">
        <f t="shared" si="1"/>
        <v>5.9999999999999787</v>
      </c>
      <c r="K45" s="9" t="s">
        <v>196</v>
      </c>
      <c r="L45" s="11" t="str">
        <f t="shared" si="2"/>
        <v>Completed</v>
      </c>
    </row>
    <row r="46" spans="1:12">
      <c r="A46" s="10">
        <v>46189</v>
      </c>
      <c r="B46" s="9" t="s">
        <v>300</v>
      </c>
      <c r="C46" t="s">
        <v>280</v>
      </c>
      <c r="D46" s="12" t="s">
        <v>315</v>
      </c>
      <c r="E46" s="9">
        <v>3</v>
      </c>
      <c r="F46" s="9" t="s">
        <v>311</v>
      </c>
      <c r="G46" s="9" t="s">
        <v>128</v>
      </c>
      <c r="H46" s="11">
        <v>0.80069444444444449</v>
      </c>
      <c r="I46" s="11">
        <v>0.82013888888888897</v>
      </c>
      <c r="J46" s="16">
        <f t="shared" si="1"/>
        <v>28.00000000000006</v>
      </c>
      <c r="K46" s="9" t="s">
        <v>196</v>
      </c>
      <c r="L46" s="11" t="str">
        <f t="shared" si="2"/>
        <v>Completed</v>
      </c>
    </row>
    <row r="47" spans="1:12">
      <c r="A47" s="10">
        <v>46180</v>
      </c>
      <c r="B47" s="9" t="s">
        <v>69</v>
      </c>
      <c r="C47" t="s">
        <v>273</v>
      </c>
      <c r="D47" s="12" t="s">
        <v>318</v>
      </c>
      <c r="E47" s="9">
        <v>5</v>
      </c>
      <c r="F47" s="9" t="s">
        <v>311</v>
      </c>
      <c r="G47" s="9" t="s">
        <v>118</v>
      </c>
      <c r="H47" s="11">
        <v>0.59305555555555556</v>
      </c>
      <c r="J47" s="16" t="str">
        <f t="shared" si="1"/>
        <v/>
      </c>
      <c r="K47" s="9" t="s">
        <v>196</v>
      </c>
      <c r="L47" s="11" t="str">
        <f t="shared" si="2"/>
        <v>Pending</v>
      </c>
    </row>
    <row r="48" spans="1:12">
      <c r="A48" s="10">
        <v>46176</v>
      </c>
      <c r="B48" s="9" t="s">
        <v>301</v>
      </c>
      <c r="C48" t="s">
        <v>280</v>
      </c>
      <c r="D48" s="12" t="s">
        <v>315</v>
      </c>
      <c r="E48" s="9">
        <v>5</v>
      </c>
      <c r="F48" s="9" t="s">
        <v>314</v>
      </c>
      <c r="G48" s="9" t="s">
        <v>333</v>
      </c>
      <c r="H48" s="11">
        <v>0.74375000000000002</v>
      </c>
      <c r="I48" s="11">
        <v>0.75555555555555554</v>
      </c>
      <c r="J48" s="16">
        <f t="shared" si="1"/>
        <v>16.99999999999994</v>
      </c>
      <c r="K48" s="9" t="s">
        <v>196</v>
      </c>
      <c r="L48" s="11" t="str">
        <f t="shared" si="2"/>
        <v>Completed</v>
      </c>
    </row>
    <row r="49" spans="1:12">
      <c r="A49" s="10">
        <v>46195</v>
      </c>
      <c r="B49" s="9" t="s">
        <v>73</v>
      </c>
      <c r="C49" t="s">
        <v>273</v>
      </c>
      <c r="D49" s="12" t="s">
        <v>318</v>
      </c>
      <c r="E49" s="9">
        <v>1</v>
      </c>
      <c r="F49" s="9" t="s">
        <v>311</v>
      </c>
      <c r="G49" s="9" t="s">
        <v>116</v>
      </c>
      <c r="H49" s="11">
        <v>0.48194444444444445</v>
      </c>
      <c r="I49" s="11">
        <v>0.48541666666666666</v>
      </c>
      <c r="J49" s="16">
        <f t="shared" si="1"/>
        <v>4.9999999999999822</v>
      </c>
      <c r="K49" s="9" t="s">
        <v>196</v>
      </c>
      <c r="L49" s="11" t="str">
        <f t="shared" si="2"/>
        <v>Completed</v>
      </c>
    </row>
    <row r="50" spans="1:12">
      <c r="A50" s="10">
        <v>46200</v>
      </c>
      <c r="B50" s="9" t="s">
        <v>302</v>
      </c>
      <c r="C50" t="s">
        <v>273</v>
      </c>
      <c r="D50" s="12" t="s">
        <v>318</v>
      </c>
      <c r="E50" s="9">
        <v>5</v>
      </c>
      <c r="F50" s="9" t="s">
        <v>317</v>
      </c>
      <c r="G50" s="9" t="s">
        <v>119</v>
      </c>
      <c r="H50" s="11">
        <v>0.69513888888888886</v>
      </c>
      <c r="I50" s="11">
        <v>0.71597222222222223</v>
      </c>
      <c r="J50" s="16">
        <f t="shared" si="1"/>
        <v>30.000000000000053</v>
      </c>
      <c r="K50" s="9" t="s">
        <v>194</v>
      </c>
      <c r="L50" s="11" t="str">
        <f t="shared" si="2"/>
        <v>Completed</v>
      </c>
    </row>
    <row r="51" spans="1:12">
      <c r="A51" s="10">
        <v>46196</v>
      </c>
      <c r="B51" s="9" t="s">
        <v>303</v>
      </c>
      <c r="C51" t="s">
        <v>273</v>
      </c>
      <c r="D51" s="12" t="s">
        <v>318</v>
      </c>
      <c r="E51" s="9">
        <v>3</v>
      </c>
      <c r="F51" s="9" t="s">
        <v>311</v>
      </c>
      <c r="G51" s="9" t="s">
        <v>333</v>
      </c>
      <c r="H51" s="11">
        <v>0.6333333333333333</v>
      </c>
      <c r="J51" s="16" t="str">
        <f t="shared" si="1"/>
        <v/>
      </c>
      <c r="K51" s="9" t="s">
        <v>196</v>
      </c>
      <c r="L51" s="11" t="str">
        <f t="shared" si="2"/>
        <v>Pending</v>
      </c>
    </row>
    <row r="52" spans="1:12">
      <c r="A52" s="10">
        <v>46189</v>
      </c>
      <c r="B52" s="9" t="s">
        <v>304</v>
      </c>
      <c r="C52" t="s">
        <v>273</v>
      </c>
      <c r="D52" s="12" t="s">
        <v>318</v>
      </c>
      <c r="E52" s="9">
        <v>3</v>
      </c>
      <c r="F52" s="9" t="s">
        <v>314</v>
      </c>
      <c r="G52" s="9" t="s">
        <v>119</v>
      </c>
      <c r="H52" s="11">
        <v>0.35416666666666669</v>
      </c>
      <c r="I52" s="11">
        <v>0.37013888888888891</v>
      </c>
      <c r="J52" s="16">
        <f t="shared" si="1"/>
        <v>23</v>
      </c>
      <c r="K52" s="9" t="s">
        <v>196</v>
      </c>
      <c r="L52" s="11" t="str">
        <f t="shared" si="2"/>
        <v>Completed</v>
      </c>
    </row>
    <row r="53" spans="1:12">
      <c r="A53" s="10">
        <v>46191</v>
      </c>
      <c r="B53" s="9" t="s">
        <v>78</v>
      </c>
      <c r="C53" t="s">
        <v>280</v>
      </c>
      <c r="D53" s="12" t="s">
        <v>315</v>
      </c>
      <c r="E53" s="9">
        <v>2</v>
      </c>
      <c r="F53" s="9" t="s">
        <v>311</v>
      </c>
      <c r="G53" s="9" t="s">
        <v>119</v>
      </c>
      <c r="H53" s="11">
        <v>0.83819444444444446</v>
      </c>
      <c r="I53" s="11">
        <v>0.85625000000000007</v>
      </c>
      <c r="J53" s="16">
        <f t="shared" si="1"/>
        <v>26.000000000000068</v>
      </c>
      <c r="K53" s="9" t="s">
        <v>193</v>
      </c>
      <c r="L53" s="11" t="str">
        <f t="shared" si="2"/>
        <v>Completed</v>
      </c>
    </row>
    <row r="54" spans="1:12">
      <c r="A54" s="10">
        <v>46178</v>
      </c>
      <c r="B54" s="9" t="s">
        <v>305</v>
      </c>
      <c r="C54" t="s">
        <v>273</v>
      </c>
      <c r="D54" s="12" t="s">
        <v>318</v>
      </c>
      <c r="E54" s="9">
        <v>5</v>
      </c>
      <c r="F54" s="9" t="s">
        <v>311</v>
      </c>
      <c r="G54" s="9" t="s">
        <v>119</v>
      </c>
      <c r="H54" s="11">
        <v>0.35416666666666669</v>
      </c>
      <c r="I54" s="11">
        <v>0.37291666666666667</v>
      </c>
      <c r="J54" s="16">
        <f t="shared" si="1"/>
        <v>26.999999999999986</v>
      </c>
      <c r="K54" s="9" t="s">
        <v>196</v>
      </c>
      <c r="L54" s="11" t="str">
        <f t="shared" si="2"/>
        <v>Completed</v>
      </c>
    </row>
    <row r="55" spans="1:12">
      <c r="A55" s="10">
        <v>46189</v>
      </c>
      <c r="B55" s="9" t="s">
        <v>82</v>
      </c>
      <c r="C55" t="s">
        <v>280</v>
      </c>
      <c r="D55" s="12" t="s">
        <v>315</v>
      </c>
      <c r="E55" s="9">
        <v>5</v>
      </c>
      <c r="F55" s="9" t="s">
        <v>313</v>
      </c>
      <c r="G55" s="9" t="s">
        <v>116</v>
      </c>
      <c r="H55" s="11">
        <v>0.73055555555555551</v>
      </c>
      <c r="I55" s="11">
        <v>0.73888888888888882</v>
      </c>
      <c r="J55" s="16">
        <f t="shared" si="1"/>
        <v>11.999999999999957</v>
      </c>
      <c r="K55" s="9" t="s">
        <v>194</v>
      </c>
      <c r="L55" s="11" t="str">
        <f t="shared" si="2"/>
        <v>Completed</v>
      </c>
    </row>
    <row r="56" spans="1:12">
      <c r="A56" s="10">
        <v>46177</v>
      </c>
      <c r="B56" s="9" t="s">
        <v>83</v>
      </c>
      <c r="C56" t="s">
        <v>280</v>
      </c>
      <c r="D56" s="12" t="s">
        <v>315</v>
      </c>
      <c r="E56" s="9">
        <v>4</v>
      </c>
      <c r="F56" s="9" t="s">
        <v>311</v>
      </c>
      <c r="G56" s="9" t="s">
        <v>116</v>
      </c>
      <c r="H56" s="11">
        <v>0.11597222222222223</v>
      </c>
      <c r="I56" s="11">
        <v>0.12361111111111112</v>
      </c>
      <c r="J56" s="16">
        <f t="shared" si="1"/>
        <v>11</v>
      </c>
      <c r="K56" s="9" t="s">
        <v>194</v>
      </c>
      <c r="L56" s="11" t="str">
        <f t="shared" si="2"/>
        <v>Completed</v>
      </c>
    </row>
    <row r="57" spans="1:12">
      <c r="A57" s="10">
        <v>46182</v>
      </c>
      <c r="B57" s="9" t="s">
        <v>306</v>
      </c>
      <c r="C57" t="s">
        <v>273</v>
      </c>
      <c r="D57" s="12" t="s">
        <v>318</v>
      </c>
      <c r="E57" s="9">
        <v>1</v>
      </c>
      <c r="F57" s="9" t="s">
        <v>311</v>
      </c>
      <c r="G57" s="9" t="s">
        <v>119</v>
      </c>
      <c r="H57" s="11">
        <v>0.32847222222222222</v>
      </c>
      <c r="J57" s="16" t="str">
        <f t="shared" si="1"/>
        <v/>
      </c>
      <c r="K57" s="9" t="s">
        <v>196</v>
      </c>
      <c r="L57" s="11" t="str">
        <f t="shared" si="2"/>
        <v>Pending</v>
      </c>
    </row>
    <row r="58" spans="1:12">
      <c r="A58" s="10">
        <v>46179</v>
      </c>
      <c r="B58" s="9" t="s">
        <v>86</v>
      </c>
      <c r="C58" t="s">
        <v>280</v>
      </c>
      <c r="D58" s="12" t="s">
        <v>315</v>
      </c>
      <c r="E58" s="9">
        <v>3</v>
      </c>
      <c r="F58" s="9" t="s">
        <v>313</v>
      </c>
      <c r="G58" s="9" t="s">
        <v>119</v>
      </c>
      <c r="H58" s="11">
        <v>0.81388888888888888</v>
      </c>
      <c r="I58" s="11">
        <v>0.83125000000000004</v>
      </c>
      <c r="J58" s="16">
        <f t="shared" si="1"/>
        <v>25.000000000000071</v>
      </c>
      <c r="K58" s="9" t="s">
        <v>194</v>
      </c>
      <c r="L58" s="11" t="str">
        <f t="shared" si="2"/>
        <v>Completed</v>
      </c>
    </row>
    <row r="59" spans="1:12">
      <c r="A59" s="10">
        <v>46185</v>
      </c>
      <c r="B59" s="9" t="s">
        <v>307</v>
      </c>
      <c r="C59" t="s">
        <v>273</v>
      </c>
      <c r="D59" s="12" t="s">
        <v>318</v>
      </c>
      <c r="E59" s="9">
        <v>5</v>
      </c>
      <c r="F59" s="9" t="s">
        <v>311</v>
      </c>
      <c r="G59" s="9" t="s">
        <v>119</v>
      </c>
      <c r="H59" s="11">
        <v>0.35416666666666669</v>
      </c>
      <c r="I59" s="11">
        <v>0.36875000000000002</v>
      </c>
      <c r="J59" s="16">
        <f t="shared" si="1"/>
        <v>21.000000000000007</v>
      </c>
      <c r="K59" s="9" t="s">
        <v>193</v>
      </c>
      <c r="L59" s="11" t="str">
        <f t="shared" si="2"/>
        <v>Completed</v>
      </c>
    </row>
    <row r="60" spans="1:12">
      <c r="A60" s="10">
        <v>46194</v>
      </c>
      <c r="B60" s="9" t="s">
        <v>90</v>
      </c>
      <c r="C60" t="s">
        <v>273</v>
      </c>
      <c r="D60" s="12" t="s">
        <v>318</v>
      </c>
      <c r="E60" s="9">
        <v>3</v>
      </c>
      <c r="F60" s="9" t="s">
        <v>311</v>
      </c>
      <c r="G60" s="9" t="s">
        <v>119</v>
      </c>
      <c r="H60" s="11">
        <v>0.40486111111111112</v>
      </c>
      <c r="I60" s="11">
        <v>0.40972222222222221</v>
      </c>
      <c r="J60" s="16">
        <f t="shared" si="1"/>
        <v>6.9999999999999751</v>
      </c>
      <c r="K60" s="9" t="s">
        <v>196</v>
      </c>
      <c r="L60" s="11" t="str">
        <f t="shared" si="2"/>
        <v>Completed</v>
      </c>
    </row>
    <row r="61" spans="1:12">
      <c r="A61" s="10">
        <v>46183</v>
      </c>
      <c r="B61" s="9" t="s">
        <v>308</v>
      </c>
      <c r="C61" t="s">
        <v>273</v>
      </c>
      <c r="D61" s="12" t="s">
        <v>318</v>
      </c>
      <c r="E61" s="9">
        <v>3</v>
      </c>
      <c r="F61" s="9" t="s">
        <v>311</v>
      </c>
      <c r="G61" s="9" t="s">
        <v>128</v>
      </c>
      <c r="H61" s="11">
        <v>0.35416666666666669</v>
      </c>
      <c r="I61" s="11">
        <v>0.37083333333333335</v>
      </c>
      <c r="J61" s="16">
        <f t="shared" si="1"/>
        <v>23.999999999999993</v>
      </c>
      <c r="K61" s="9" t="s">
        <v>196</v>
      </c>
      <c r="L61" s="11" t="str">
        <f t="shared" si="2"/>
        <v>Completed</v>
      </c>
    </row>
    <row r="62" spans="1:12">
      <c r="A62" s="10">
        <v>46185</v>
      </c>
      <c r="B62" s="9" t="s">
        <v>309</v>
      </c>
      <c r="C62" t="s">
        <v>273</v>
      </c>
      <c r="D62" s="12" t="s">
        <v>318</v>
      </c>
      <c r="E62" s="9">
        <v>4</v>
      </c>
      <c r="F62" s="9" t="s">
        <v>311</v>
      </c>
      <c r="G62" s="9" t="s">
        <v>128</v>
      </c>
      <c r="H62" s="11">
        <v>0.35416666666666669</v>
      </c>
      <c r="I62" s="11">
        <v>0.37430555555555556</v>
      </c>
      <c r="J62" s="16">
        <f t="shared" si="1"/>
        <v>28.999999999999979</v>
      </c>
      <c r="K62" s="9" t="s">
        <v>193</v>
      </c>
      <c r="L62" s="11" t="str">
        <f t="shared" si="2"/>
        <v>Completed</v>
      </c>
    </row>
    <row r="63" spans="1:12">
      <c r="A63" s="10">
        <v>46192</v>
      </c>
      <c r="B63" s="9" t="s">
        <v>310</v>
      </c>
      <c r="C63" t="s">
        <v>273</v>
      </c>
      <c r="D63" s="12" t="s">
        <v>318</v>
      </c>
      <c r="E63" s="9">
        <v>2</v>
      </c>
      <c r="F63" s="9" t="s">
        <v>311</v>
      </c>
      <c r="G63" s="9" t="s">
        <v>116</v>
      </c>
      <c r="H63" s="11">
        <v>0.24722222222222223</v>
      </c>
      <c r="J63" s="16" t="str">
        <f t="shared" si="1"/>
        <v/>
      </c>
      <c r="K63" s="9" t="s">
        <v>196</v>
      </c>
      <c r="L63" s="11" t="str">
        <f t="shared" si="2"/>
        <v>Pending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A87B-AF9E-4AF8-9659-8D4C8E4F6497}">
  <dimension ref="B1:G28"/>
  <sheetViews>
    <sheetView workbookViewId="0">
      <selection activeCell="M25" sqref="M25"/>
    </sheetView>
  </sheetViews>
  <sheetFormatPr defaultRowHeight="15"/>
  <cols>
    <col min="2" max="2" width="13.42578125" bestFit="1" customWidth="1"/>
    <col min="3" max="3" width="17.7109375" bestFit="1" customWidth="1"/>
    <col min="6" max="6" width="13.42578125" bestFit="1" customWidth="1"/>
    <col min="7" max="7" width="28.5703125" bestFit="1" customWidth="1"/>
  </cols>
  <sheetData>
    <row r="1" spans="2:7">
      <c r="B1" s="22" t="s">
        <v>330</v>
      </c>
      <c r="C1" s="22"/>
      <c r="F1" s="22" t="s">
        <v>334</v>
      </c>
      <c r="G1" s="22"/>
    </row>
    <row r="2" spans="2:7">
      <c r="B2" s="17" t="s">
        <v>327</v>
      </c>
      <c r="C2" t="s">
        <v>329</v>
      </c>
      <c r="F2" s="17" t="s">
        <v>327</v>
      </c>
      <c r="G2" t="s">
        <v>336</v>
      </c>
    </row>
    <row r="3" spans="2:7">
      <c r="B3" s="18" t="s">
        <v>280</v>
      </c>
      <c r="C3">
        <v>21</v>
      </c>
      <c r="F3" s="18" t="s">
        <v>280</v>
      </c>
      <c r="G3" s="19">
        <v>17.578947368421051</v>
      </c>
    </row>
    <row r="4" spans="2:7">
      <c r="B4" s="18" t="s">
        <v>273</v>
      </c>
      <c r="C4">
        <v>41</v>
      </c>
      <c r="F4" s="18" t="s">
        <v>273</v>
      </c>
      <c r="G4" s="19">
        <v>16.264705882352935</v>
      </c>
    </row>
    <row r="5" spans="2:7">
      <c r="B5" s="18" t="s">
        <v>328</v>
      </c>
      <c r="C5">
        <v>62</v>
      </c>
      <c r="F5" s="18" t="s">
        <v>328</v>
      </c>
      <c r="G5" s="19">
        <v>16.735849056603769</v>
      </c>
    </row>
    <row r="9" spans="2:7">
      <c r="B9" s="22" t="s">
        <v>331</v>
      </c>
      <c r="C9" s="22"/>
      <c r="F9" s="22" t="s">
        <v>337</v>
      </c>
      <c r="G9" s="22"/>
    </row>
    <row r="10" spans="2:7">
      <c r="B10" s="17" t="s">
        <v>327</v>
      </c>
      <c r="C10" t="s">
        <v>329</v>
      </c>
      <c r="F10" s="17" t="s">
        <v>327</v>
      </c>
      <c r="G10" t="s">
        <v>336</v>
      </c>
    </row>
    <row r="11" spans="2:7">
      <c r="B11" s="18" t="s">
        <v>339</v>
      </c>
      <c r="C11">
        <v>21</v>
      </c>
      <c r="F11" s="18" t="s">
        <v>315</v>
      </c>
      <c r="G11" s="19">
        <v>17.578947368421051</v>
      </c>
    </row>
    <row r="12" spans="2:7">
      <c r="B12" s="18" t="s">
        <v>340</v>
      </c>
      <c r="C12">
        <v>41</v>
      </c>
      <c r="F12" s="18" t="s">
        <v>318</v>
      </c>
      <c r="G12" s="19">
        <v>16.264705882352935</v>
      </c>
    </row>
    <row r="13" spans="2:7">
      <c r="B13" s="18" t="s">
        <v>328</v>
      </c>
      <c r="C13">
        <v>62</v>
      </c>
      <c r="F13" s="18" t="s">
        <v>328</v>
      </c>
      <c r="G13" s="19">
        <v>16.735849056603769</v>
      </c>
    </row>
    <row r="16" spans="2:7">
      <c r="B16" s="22" t="s">
        <v>319</v>
      </c>
      <c r="C16" s="22"/>
      <c r="F16" s="22" t="s">
        <v>219</v>
      </c>
      <c r="G16" s="22"/>
    </row>
    <row r="17" spans="2:7">
      <c r="B17" s="17" t="s">
        <v>327</v>
      </c>
      <c r="C17" t="s">
        <v>329</v>
      </c>
      <c r="F17" s="17" t="s">
        <v>327</v>
      </c>
      <c r="G17" t="s">
        <v>329</v>
      </c>
    </row>
    <row r="18" spans="2:7">
      <c r="B18" s="18" t="s">
        <v>332</v>
      </c>
      <c r="C18">
        <v>53</v>
      </c>
      <c r="F18" s="18" t="s">
        <v>196</v>
      </c>
      <c r="G18">
        <v>29</v>
      </c>
    </row>
    <row r="19" spans="2:7">
      <c r="B19" s="18" t="s">
        <v>333</v>
      </c>
      <c r="C19">
        <v>9</v>
      </c>
      <c r="F19" s="18" t="s">
        <v>193</v>
      </c>
      <c r="G19">
        <v>10</v>
      </c>
    </row>
    <row r="20" spans="2:7">
      <c r="B20" s="18" t="s">
        <v>328</v>
      </c>
      <c r="C20">
        <v>62</v>
      </c>
      <c r="F20" s="18" t="s">
        <v>194</v>
      </c>
      <c r="G20">
        <v>23</v>
      </c>
    </row>
    <row r="21" spans="2:7">
      <c r="F21" s="18" t="s">
        <v>328</v>
      </c>
      <c r="G21">
        <v>62</v>
      </c>
    </row>
    <row r="23" spans="2:7">
      <c r="B23" t="s">
        <v>219</v>
      </c>
    </row>
    <row r="24" spans="2:7">
      <c r="B24" s="17" t="s">
        <v>327</v>
      </c>
      <c r="C24" t="s">
        <v>329</v>
      </c>
    </row>
    <row r="25" spans="2:7">
      <c r="B25" s="18" t="s">
        <v>196</v>
      </c>
      <c r="C25">
        <v>29</v>
      </c>
    </row>
    <row r="26" spans="2:7">
      <c r="B26" s="18" t="s">
        <v>193</v>
      </c>
      <c r="C26">
        <v>10</v>
      </c>
    </row>
    <row r="27" spans="2:7">
      <c r="B27" s="18" t="s">
        <v>194</v>
      </c>
      <c r="C27">
        <v>23</v>
      </c>
    </row>
    <row r="28" spans="2:7">
      <c r="B28" s="18" t="s">
        <v>328</v>
      </c>
      <c r="C28">
        <v>62</v>
      </c>
    </row>
  </sheetData>
  <mergeCells count="6">
    <mergeCell ref="B1:C1"/>
    <mergeCell ref="F1:G1"/>
    <mergeCell ref="B9:C9"/>
    <mergeCell ref="F9:G9"/>
    <mergeCell ref="B16:C16"/>
    <mergeCell ref="F16:G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48CD-0A05-4C62-A1C9-C572AA1E52C2}">
  <sheetPr>
    <pageSetUpPr autoPageBreaks="0"/>
  </sheetPr>
  <dimension ref="A1:X1"/>
  <sheetViews>
    <sheetView showGridLines="0" tabSelected="1" topLeftCell="A2" zoomScaleNormal="100" workbookViewId="0">
      <selection activeCell="Z56" sqref="Z56"/>
    </sheetView>
  </sheetViews>
  <sheetFormatPr defaultRowHeight="15"/>
  <sheetData>
    <row r="1" spans="1:24" ht="31.5">
      <c r="A1" s="21" t="s">
        <v>338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</sheetData>
  <mergeCells count="1">
    <mergeCell ref="A1:X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README</vt:lpstr>
      <vt:lpstr>Clean_Data</vt:lpstr>
      <vt:lpstr>Pivot_Tables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Kanwardeep Singh</dc:creator>
  <cp:lastModifiedBy>Kanwardeep Singh</cp:lastModifiedBy>
  <dcterms:created xsi:type="dcterms:W3CDTF">2026-07-07T23:41:34Z</dcterms:created>
  <dcterms:modified xsi:type="dcterms:W3CDTF">2026-07-10T19:11:31Z</dcterms:modified>
</cp:coreProperties>
</file>